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ageningenur4.sharepoint.com/sites/MiCRop-WUR/Gedeelde documenten/Experiments/BrassiFamExp/data/"/>
    </mc:Choice>
  </mc:AlternateContent>
  <xr:revisionPtr revIDLastSave="85" documentId="6_{F0276431-AF9F-4B2F-9CB2-C816AA6B46ED}" xr6:coauthVersionLast="46" xr6:coauthVersionMax="46" xr10:uidLastSave="{C5C50D96-5C09-4E96-A750-DBBA56C01081}"/>
  <bookViews>
    <workbookView xWindow="-108" yWindow="-108" windowWidth="23256" windowHeight="12576" xr2:uid="{49A013B9-F573-498B-9E38-10FDC61E1E18}"/>
  </bookViews>
  <sheets>
    <sheet name="Printed_final" sheetId="12" r:id="rId1"/>
    <sheet name="Category" sheetId="7" r:id="rId2"/>
    <sheet name="Final" sheetId="11" r:id="rId3"/>
    <sheet name="Trays" sheetId="10" r:id="rId4"/>
    <sheet name="Check (2)" sheetId="9" r:id="rId5"/>
    <sheet name="Check" sheetId="6" r:id="rId6"/>
    <sheet name="regression.3to5" sheetId="5" r:id="rId7"/>
  </sheets>
  <definedNames>
    <definedName name="_xlnm._FilterDatabase" localSheetId="1" hidden="1">Category!$A$1:$N$1</definedName>
    <definedName name="_xlnm._FilterDatabase" localSheetId="5" hidden="1">Check!$A$1:$I$41</definedName>
    <definedName name="_xlnm._FilterDatabase" localSheetId="4" hidden="1">'Check (2)'!$A$1:$I$40</definedName>
    <definedName name="_xlnm._FilterDatabase" localSheetId="3" hidden="1">Trays!$A$1:$P$1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5" i="10" l="1"/>
  <c r="P5" i="10" l="1"/>
  <c r="P6" i="10"/>
  <c r="P8" i="10"/>
  <c r="P9" i="10"/>
  <c r="P10" i="10"/>
  <c r="P11" i="10"/>
  <c r="P12" i="10"/>
  <c r="P13" i="10"/>
  <c r="P14" i="10"/>
  <c r="P19" i="10"/>
  <c r="P20" i="10"/>
  <c r="P21" i="10"/>
  <c r="P22" i="10"/>
  <c r="P23" i="10"/>
  <c r="P24" i="10"/>
  <c r="P25" i="10"/>
  <c r="P26" i="10"/>
  <c r="P27" i="10"/>
  <c r="P28" i="10"/>
  <c r="P35" i="10"/>
  <c r="P36" i="10"/>
  <c r="P37" i="10"/>
  <c r="P38" i="10"/>
  <c r="P39" i="10"/>
  <c r="P41" i="10"/>
  <c r="P42" i="10"/>
  <c r="P2" i="10"/>
  <c r="S2" i="10"/>
  <c r="K44" i="10" l="1"/>
  <c r="H2" i="10"/>
  <c r="I2" i="10" s="1"/>
  <c r="H3" i="10"/>
  <c r="I3" i="10"/>
  <c r="S3" i="10"/>
  <c r="H4" i="10"/>
  <c r="I4" i="10" s="1"/>
  <c r="S4" i="10"/>
  <c r="H5" i="10"/>
  <c r="I5" i="10"/>
  <c r="H6" i="10"/>
  <c r="I6" i="10" s="1"/>
  <c r="H7" i="10"/>
  <c r="I7" i="10" s="1"/>
  <c r="H8" i="10"/>
  <c r="I8" i="10"/>
  <c r="H9" i="10"/>
  <c r="I9" i="10" s="1"/>
  <c r="H10" i="10"/>
  <c r="I10" i="10" s="1"/>
  <c r="H11" i="10"/>
  <c r="I11" i="10" s="1"/>
  <c r="H12" i="10"/>
  <c r="I12" i="10" s="1"/>
  <c r="H13" i="10"/>
  <c r="I13" i="10"/>
  <c r="H14" i="10"/>
  <c r="I14" i="10" s="1"/>
  <c r="H17" i="10"/>
  <c r="I17" i="10"/>
  <c r="H18" i="10"/>
  <c r="I18" i="10" s="1"/>
  <c r="H19" i="10"/>
  <c r="I19" i="10" s="1"/>
  <c r="H20" i="10"/>
  <c r="I20" i="10" s="1"/>
  <c r="H21" i="10"/>
  <c r="I21" i="10" s="1"/>
  <c r="H22" i="10"/>
  <c r="I22" i="10"/>
  <c r="H23" i="10"/>
  <c r="I23" i="10" s="1"/>
  <c r="H24" i="10"/>
  <c r="I24" i="10" s="1"/>
  <c r="H25" i="10"/>
  <c r="I25" i="10"/>
  <c r="H26" i="10"/>
  <c r="I26" i="10" s="1"/>
  <c r="H27" i="10"/>
  <c r="I27" i="10" s="1"/>
  <c r="H28" i="10"/>
  <c r="I28" i="10" s="1"/>
  <c r="H31" i="10"/>
  <c r="I31" i="10"/>
  <c r="H32" i="10"/>
  <c r="I32" i="10" s="1"/>
  <c r="H33" i="10"/>
  <c r="I33" i="10" s="1"/>
  <c r="H34" i="10"/>
  <c r="I34" i="10"/>
  <c r="H35" i="10"/>
  <c r="I35" i="10" s="1"/>
  <c r="H36" i="10"/>
  <c r="I36" i="10" s="1"/>
  <c r="H37" i="10"/>
  <c r="I37" i="10" s="1"/>
  <c r="H38" i="10"/>
  <c r="I38" i="10" s="1"/>
  <c r="H39" i="10"/>
  <c r="I39" i="10"/>
  <c r="H41" i="10"/>
  <c r="I41" i="10" s="1"/>
  <c r="H42" i="10"/>
  <c r="I42" i="10" s="1"/>
</calcChain>
</file>

<file path=xl/sharedStrings.xml><?xml version="1.0" encoding="utf-8"?>
<sst xmlns="http://schemas.openxmlformats.org/spreadsheetml/2006/main" count="1635" uniqueCount="245">
  <si>
    <t>Brassica_oleracea_rivera</t>
  </si>
  <si>
    <t>Cochlearia_officinalis</t>
  </si>
  <si>
    <t>Isatis_tinctoria</t>
  </si>
  <si>
    <t>Lepidium_graminifolium</t>
  </si>
  <si>
    <t>Sisymbrium_officinale</t>
  </si>
  <si>
    <t>Brassica_oleraceae_uncoated</t>
  </si>
  <si>
    <t>Erysium_cheirantoides</t>
  </si>
  <si>
    <t>Malcomia_maritima</t>
  </si>
  <si>
    <t>Schrenkiella_parvula</t>
  </si>
  <si>
    <t>Sinapis_alba</t>
  </si>
  <si>
    <t>Descurainia_sophia</t>
  </si>
  <si>
    <t>Diplotaxis_tenuifolia</t>
  </si>
  <si>
    <t>Hirschfeldia_incana</t>
  </si>
  <si>
    <t>Iberis_amara</t>
  </si>
  <si>
    <t>Lepidium_ruderale</t>
  </si>
  <si>
    <t>Arabidopsis_thaliana</t>
  </si>
  <si>
    <t>Lobularia_maritima</t>
  </si>
  <si>
    <t>Sysimbrium_irio</t>
  </si>
  <si>
    <t>Camelina_sativa_crop</t>
  </si>
  <si>
    <t>Descurainia_tetraploid</t>
  </si>
  <si>
    <t>Erysium_cheiri</t>
  </si>
  <si>
    <t>Pisum_sativum</t>
  </si>
  <si>
    <t>Medicago_trunculata</t>
  </si>
  <si>
    <t>Solanum_lycopersicum</t>
  </si>
  <si>
    <t>Nicotiania_benthamiana</t>
  </si>
  <si>
    <t>Brassica_oleracea_kimmeridge</t>
  </si>
  <si>
    <t>Sinapis_arvensis</t>
  </si>
  <si>
    <t>Arabis_glabra</t>
  </si>
  <si>
    <t>Brassica_nigra</t>
  </si>
  <si>
    <t>Barbarea_vulgaris</t>
  </si>
  <si>
    <t>Berteroa_incana</t>
  </si>
  <si>
    <t>Brassica_rapa</t>
  </si>
  <si>
    <t>Camelina_sativa</t>
  </si>
  <si>
    <t>Capsella_bursa-pastoris</t>
  </si>
  <si>
    <t>Euclidium_syriacum</t>
  </si>
  <si>
    <t>Arabidopsis_lyrata</t>
  </si>
  <si>
    <t>Rorippa_austriaca</t>
  </si>
  <si>
    <t>Brachypodium</t>
  </si>
  <si>
    <t>Zea_mays</t>
  </si>
  <si>
    <t>Bunias_orientalis</t>
  </si>
  <si>
    <t>species</t>
  </si>
  <si>
    <t>ID</t>
  </si>
  <si>
    <t>mean.days</t>
  </si>
  <si>
    <t>sd.days</t>
  </si>
  <si>
    <t>min.days</t>
  </si>
  <si>
    <t>max.days</t>
  </si>
  <si>
    <t>n</t>
  </si>
  <si>
    <t>lineage</t>
  </si>
  <si>
    <t>tribe</t>
  </si>
  <si>
    <t>Lineage 1</t>
  </si>
  <si>
    <t>Erysimae</t>
  </si>
  <si>
    <t>Camelineae</t>
  </si>
  <si>
    <t>Cardamineae</t>
  </si>
  <si>
    <t>Lineage 3</t>
  </si>
  <si>
    <t>Euclidieae</t>
  </si>
  <si>
    <t>Fabaceae</t>
  </si>
  <si>
    <t>Fabeae</t>
  </si>
  <si>
    <t>Expanded Lineage 2</t>
  </si>
  <si>
    <t>Anastaticeae</t>
  </si>
  <si>
    <t>Malcolmieae</t>
  </si>
  <si>
    <t>Lepidieae</t>
  </si>
  <si>
    <t>Lineage 2</t>
  </si>
  <si>
    <t>Brassiceae</t>
  </si>
  <si>
    <t>Poaceae</t>
  </si>
  <si>
    <t>Maydeae</t>
  </si>
  <si>
    <t>Arabidae</t>
  </si>
  <si>
    <t>Descurainieae</t>
  </si>
  <si>
    <t>Eutremea</t>
  </si>
  <si>
    <t>Brachypodieae</t>
  </si>
  <si>
    <t>Camelinae</t>
  </si>
  <si>
    <t>Alysseae</t>
  </si>
  <si>
    <t>Trifolieae</t>
  </si>
  <si>
    <t>Sisymbrieae</t>
  </si>
  <si>
    <t>Solanaceae</t>
  </si>
  <si>
    <t>Solaneae</t>
  </si>
  <si>
    <t>Cochlearieae</t>
  </si>
  <si>
    <t>Isatidae</t>
  </si>
  <si>
    <t>Nicotianeae</t>
  </si>
  <si>
    <t>Iberideae</t>
  </si>
  <si>
    <t>Buniadeae</t>
  </si>
  <si>
    <t>Total</t>
  </si>
  <si>
    <t>Per speed</t>
  </si>
  <si>
    <t>Species</t>
  </si>
  <si>
    <t>Family</t>
  </si>
  <si>
    <t>Lineage</t>
  </si>
  <si>
    <t>Tribe</t>
  </si>
  <si>
    <t>Germination</t>
  </si>
  <si>
    <t>Wild/ Cultivated</t>
  </si>
  <si>
    <t>Dipping</t>
  </si>
  <si>
    <t>Life cycle</t>
  </si>
  <si>
    <t>Seeds available</t>
  </si>
  <si>
    <t>Genome</t>
  </si>
  <si>
    <t>Medium</t>
  </si>
  <si>
    <t>Arabidopsis lyrata</t>
  </si>
  <si>
    <t>Brassicaceae</t>
  </si>
  <si>
    <t>Fast</t>
  </si>
  <si>
    <t>Arabidopsis thaliana</t>
  </si>
  <si>
    <t>Arabis glabra</t>
  </si>
  <si>
    <t>Barbarea vulgaris</t>
  </si>
  <si>
    <t>Fast/Medium</t>
  </si>
  <si>
    <t xml:space="preserve">Berteroa incana </t>
  </si>
  <si>
    <t>Wild</t>
  </si>
  <si>
    <t>Brassica nigra</t>
  </si>
  <si>
    <t>Brassica oleraceae</t>
  </si>
  <si>
    <t>Cultivated</t>
  </si>
  <si>
    <t>Slow</t>
  </si>
  <si>
    <t>Brassica oleraceae Kimmeridge</t>
  </si>
  <si>
    <t>Medium/Slow</t>
  </si>
  <si>
    <t>Brassica rapa</t>
  </si>
  <si>
    <t>Bunias orientalis</t>
  </si>
  <si>
    <t>Camelina sativa</t>
  </si>
  <si>
    <t>Camelina sativa crop</t>
  </si>
  <si>
    <t>Capsella bursa-pastoris</t>
  </si>
  <si>
    <t>Cochlearia officinalis</t>
  </si>
  <si>
    <t>Cucumis sativus</t>
  </si>
  <si>
    <t>Cucurbitaceae</t>
  </si>
  <si>
    <t>Cucurbita pepo</t>
  </si>
  <si>
    <t>Descurainia sophia</t>
  </si>
  <si>
    <t>Descurainia tetraploid</t>
  </si>
  <si>
    <t>Diplotaxis tenuifolia</t>
  </si>
  <si>
    <t>Erysium cheirantoides</t>
  </si>
  <si>
    <t>Erysium cheiri</t>
  </si>
  <si>
    <t>Euclidium syriacum</t>
  </si>
  <si>
    <t>Hirschfeldia incana</t>
  </si>
  <si>
    <t>Iberis amara</t>
  </si>
  <si>
    <t>Isatis tinctoria</t>
  </si>
  <si>
    <t>Lepidium graminifolium</t>
  </si>
  <si>
    <t>Lepidium ruderale</t>
  </si>
  <si>
    <t>Lobularia maritima</t>
  </si>
  <si>
    <t>Malcomia maritima</t>
  </si>
  <si>
    <t>?</t>
  </si>
  <si>
    <t>Nicotiana benthamiana</t>
  </si>
  <si>
    <t>Pisum sativum</t>
  </si>
  <si>
    <t>Rorippa austriaca</t>
  </si>
  <si>
    <t>Shrenkliella parvula</t>
  </si>
  <si>
    <t>Sinapis alba</t>
  </si>
  <si>
    <t>Sinapis arvensis</t>
  </si>
  <si>
    <t>Solanum lycopersicum</t>
  </si>
  <si>
    <t>Sysimbrium irio</t>
  </si>
  <si>
    <t>Sysimbrium officinale</t>
  </si>
  <si>
    <t>Zea mays</t>
  </si>
  <si>
    <t>Medium/Fast</t>
  </si>
  <si>
    <t>Slow/Medium</t>
  </si>
  <si>
    <t>Cultivated?</t>
  </si>
  <si>
    <t>Difficult</t>
  </si>
  <si>
    <t>Flowering</t>
  </si>
  <si>
    <t>Yes</t>
  </si>
  <si>
    <t>Annual</t>
  </si>
  <si>
    <t>Perennial</t>
  </si>
  <si>
    <t>Annual or Perennial</t>
  </si>
  <si>
    <t>Biennial or Perennial</t>
  </si>
  <si>
    <t>Annual or Biennial</t>
  </si>
  <si>
    <t xml:space="preserve">Annual </t>
  </si>
  <si>
    <t>Medicago truncatula</t>
  </si>
  <si>
    <t>Annual or Biennial or Perennial</t>
  </si>
  <si>
    <t>Annual*(D. sophia)</t>
  </si>
  <si>
    <t>Annual?</t>
  </si>
  <si>
    <t>Salt tolerant</t>
  </si>
  <si>
    <t>F</t>
  </si>
  <si>
    <t>L</t>
  </si>
  <si>
    <t>T</t>
  </si>
  <si>
    <t>G%</t>
  </si>
  <si>
    <t>Seedlings needed</t>
  </si>
  <si>
    <t>Number seeds for sowing</t>
  </si>
  <si>
    <t>Number seeds for sowing + 20% extra</t>
  </si>
  <si>
    <t xml:space="preserve">Germination trays </t>
  </si>
  <si>
    <t>Small support trays</t>
  </si>
  <si>
    <t>Big suport trays</t>
  </si>
  <si>
    <r>
      <t xml:space="preserve">Brassica oleraceae </t>
    </r>
    <r>
      <rPr>
        <b/>
        <sz val="9"/>
        <color rgb="FF4472C4"/>
        <rFont val="Arial"/>
        <family val="2"/>
      </rPr>
      <t>- UN</t>
    </r>
  </si>
  <si>
    <t>C</t>
  </si>
  <si>
    <t>Total germination trays</t>
  </si>
  <si>
    <t>Total small support trays</t>
  </si>
  <si>
    <t>P</t>
  </si>
  <si>
    <t>Total big support trays</t>
  </si>
  <si>
    <t>Total kg of soil</t>
  </si>
  <si>
    <t>e2</t>
  </si>
  <si>
    <t>Berteroa incana</t>
  </si>
  <si>
    <t>Euclydium syriacum</t>
  </si>
  <si>
    <t xml:space="preserve">Camelina sativa </t>
  </si>
  <si>
    <t>M</t>
  </si>
  <si>
    <t>Medicago trunculata</t>
  </si>
  <si>
    <t xml:space="preserve">Brassica rapa </t>
  </si>
  <si>
    <t>S</t>
  </si>
  <si>
    <t>Bunidae</t>
  </si>
  <si>
    <t>Grams to weight</t>
  </si>
  <si>
    <t>Peeling / cleaning</t>
  </si>
  <si>
    <t>Grams/seed</t>
  </si>
  <si>
    <t>Growth speed</t>
  </si>
  <si>
    <r>
      <t xml:space="preserve">Camelina sativa </t>
    </r>
    <r>
      <rPr>
        <b/>
        <sz val="9"/>
        <color rgb="FF000000"/>
        <rFont val="Arial"/>
        <family val="2"/>
      </rPr>
      <t>crop</t>
    </r>
  </si>
  <si>
    <r>
      <t xml:space="preserve">B. oleraceae </t>
    </r>
    <r>
      <rPr>
        <b/>
        <sz val="9"/>
        <color rgb="FF000000"/>
        <rFont val="Arial"/>
        <family val="2"/>
      </rPr>
      <t>Kimmeridge</t>
    </r>
  </si>
  <si>
    <t>ORIGINAL</t>
  </si>
  <si>
    <t>FINAL</t>
  </si>
  <si>
    <t>Notes</t>
  </si>
  <si>
    <r>
      <t xml:space="preserve">Brassica oleraceae </t>
    </r>
    <r>
      <rPr>
        <b/>
        <sz val="9"/>
        <color theme="9"/>
        <rFont val="Arial"/>
        <family val="2"/>
      </rPr>
      <t>- UN</t>
    </r>
  </si>
  <si>
    <r>
      <t xml:space="preserve">Brassica oleraceae </t>
    </r>
    <r>
      <rPr>
        <b/>
        <sz val="9"/>
        <color theme="7" tint="-0.249977111117893"/>
        <rFont val="Arial"/>
        <family val="2"/>
      </rPr>
      <t>- UN</t>
    </r>
  </si>
  <si>
    <r>
      <t xml:space="preserve">Camelina sativa </t>
    </r>
    <r>
      <rPr>
        <b/>
        <sz val="9"/>
        <color theme="7" tint="-0.249977111117893"/>
        <rFont val="Arial"/>
        <family val="2"/>
      </rPr>
      <t>crop</t>
    </r>
  </si>
  <si>
    <r>
      <t xml:space="preserve">Brassica oleraceae </t>
    </r>
    <r>
      <rPr>
        <b/>
        <sz val="9"/>
        <color rgb="FFCC0000"/>
        <rFont val="Arial"/>
        <family val="2"/>
      </rPr>
      <t>- UN</t>
    </r>
  </si>
  <si>
    <r>
      <t xml:space="preserve">B. oleraceae </t>
    </r>
    <r>
      <rPr>
        <b/>
        <sz val="9"/>
        <color rgb="FFCC0000"/>
        <rFont val="Arial"/>
        <family val="2"/>
      </rPr>
      <t>Kimmeridge</t>
    </r>
  </si>
  <si>
    <t>12 reps</t>
  </si>
  <si>
    <t>8 reps</t>
  </si>
  <si>
    <t>F11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</si>
  <si>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</si>
  <si>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</si>
  <si>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</si>
  <si>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</si>
  <si>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</si>
  <si>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</si>
  <si>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</si>
  <si>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</si>
  <si>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</si>
  <si>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</si>
  <si>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F12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</si>
  <si>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</si>
  <si>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</si>
  <si>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</si>
  <si>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</si>
  <si>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</si>
  <si>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</si>
  <si>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</si>
  <si>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</si>
  <si>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</si>
  <si>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</si>
  <si>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</si>
  <si>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</si>
  <si>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</si>
  <si>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</si>
  <si>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</si>
  <si>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</si>
  <si>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</si>
  <si>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</si>
  <si>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</si>
  <si>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</si>
  <si>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</si>
  <si>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</si>
  <si>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</si>
  <si>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M12</t>
  </si>
  <si>
    <t>Only soil control</t>
  </si>
  <si>
    <r>
      <t xml:space="preserve">Brassica oleraceae </t>
    </r>
    <r>
      <rPr>
        <b/>
        <sz val="10"/>
        <rFont val="Arial"/>
        <family val="2"/>
      </rPr>
      <t>- UN</t>
    </r>
  </si>
  <si>
    <r>
      <t xml:space="preserve">Camelina sativa </t>
    </r>
    <r>
      <rPr>
        <b/>
        <sz val="10"/>
        <rFont val="Arial"/>
        <family val="2"/>
      </rPr>
      <t>crop</t>
    </r>
  </si>
  <si>
    <r>
      <t xml:space="preserve">B. oleraceae </t>
    </r>
    <r>
      <rPr>
        <b/>
        <sz val="10"/>
        <color rgb="FFFF0000"/>
        <rFont val="Arial"/>
        <family val="2"/>
      </rPr>
      <t>Kimmeridge</t>
    </r>
  </si>
  <si>
    <r>
      <t xml:space="preserve">Brassica oleraceae </t>
    </r>
    <r>
      <rPr>
        <b/>
        <sz val="10"/>
        <color rgb="FFFF0000"/>
        <rFont val="Arial"/>
        <family val="2"/>
      </rPr>
      <t>- UN</t>
    </r>
  </si>
  <si>
    <t>soils taken</t>
  </si>
  <si>
    <t>Final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</si>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</sst>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5" tint="-0.499984740745262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theme="7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name val="Calibri"/>
      <family val="2"/>
      <scheme val="minor"/>
    </font>
    <font>
      <b/>
      <sz val="9"/>
      <color rgb="FF000000"/>
      <name val="Arial"/>
      <family val="2"/>
    </font>
    <font>
      <b/>
      <i/>
      <sz val="9"/>
      <color rgb="FF4472C4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sz val="18"/>
      <name val="Arial"/>
      <family val="2"/>
    </font>
    <font>
      <sz val="9"/>
      <color rgb="FFFFFFFF"/>
      <name val="Arial"/>
      <family val="2"/>
    </font>
    <font>
      <b/>
      <sz val="9"/>
      <color rgb="FF4472C4"/>
      <name val="Arial"/>
      <family val="2"/>
    </font>
    <font>
      <b/>
      <sz val="9"/>
      <color rgb="FF000000"/>
      <name val="Arial"/>
      <family val="2"/>
    </font>
    <font>
      <b/>
      <i/>
      <sz val="9"/>
      <color rgb="FF000000"/>
      <name val="Arial"/>
      <family val="2"/>
    </font>
    <font>
      <b/>
      <i/>
      <sz val="9"/>
      <color rgb="FF7F7F7F"/>
      <name val="Arial"/>
      <family val="2"/>
    </font>
    <font>
      <b/>
      <i/>
      <sz val="9"/>
      <color theme="9"/>
      <name val="Arial"/>
      <family val="2"/>
    </font>
    <font>
      <b/>
      <sz val="9"/>
      <color theme="9"/>
      <name val="Arial"/>
      <family val="2"/>
    </font>
    <font>
      <b/>
      <i/>
      <sz val="9"/>
      <color theme="9" tint="0.59999389629810485"/>
      <name val="Arial"/>
      <family val="2"/>
    </font>
    <font>
      <b/>
      <i/>
      <sz val="9"/>
      <color theme="7" tint="-0.249977111117893"/>
      <name val="Arial"/>
      <family val="2"/>
    </font>
    <font>
      <b/>
      <sz val="9"/>
      <color theme="7" tint="-0.249977111117893"/>
      <name val="Arial"/>
      <family val="2"/>
    </font>
    <font>
      <b/>
      <i/>
      <sz val="9"/>
      <color rgb="FFCC0000"/>
      <name val="Arial"/>
      <family val="2"/>
    </font>
    <font>
      <b/>
      <sz val="9"/>
      <color rgb="FFCC0000"/>
      <name val="Arial"/>
      <family val="2"/>
    </font>
    <font>
      <b/>
      <i/>
      <sz val="9"/>
      <color rgb="FFFF9797"/>
      <name val="Arial"/>
      <family val="2"/>
    </font>
    <font>
      <b/>
      <i/>
      <sz val="9"/>
      <color theme="7" tint="0.39997558519241921"/>
      <name val="Arial"/>
      <family val="2"/>
    </font>
    <font>
      <b/>
      <sz val="10"/>
      <color rgb="FF000000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b/>
      <sz val="10"/>
      <color theme="0" tint="-0.499984740745262"/>
      <name val="Arial"/>
      <family val="2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7E597"/>
        <bgColor indexed="64"/>
      </patternFill>
    </fill>
    <fill>
      <patternFill patternType="solid">
        <fgColor rgb="FFFFA3A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D60093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43C0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1966"/>
        <bgColor indexed="64"/>
      </patternFill>
    </fill>
    <fill>
      <patternFill patternType="solid">
        <fgColor rgb="FFECF5E7"/>
        <bgColor indexed="64"/>
      </patternFill>
    </fill>
    <fill>
      <patternFill patternType="solid">
        <fgColor rgb="FFFFBDB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7E1"/>
        <bgColor indexed="64"/>
      </patternFill>
    </fill>
    <fill>
      <patternFill patternType="solid">
        <fgColor rgb="FFFF79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rgb="FFFF8181"/>
        <bgColor indexed="64"/>
      </patternFill>
    </fill>
    <fill>
      <patternFill patternType="solid">
        <fgColor rgb="FF81B7F3"/>
        <bgColor indexed="64"/>
      </patternFill>
    </fill>
    <fill>
      <patternFill patternType="solid">
        <fgColor rgb="FFFF9797"/>
        <bgColor indexed="64"/>
      </patternFill>
    </fill>
    <fill>
      <patternFill patternType="solid">
        <fgColor rgb="FFFFFF9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8">
    <xf numFmtId="0" fontId="0" fillId="0" borderId="0" xfId="0"/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8" borderId="0" xfId="0" applyFill="1" applyAlignment="1">
      <alignment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8" borderId="0" xfId="0" applyFill="1"/>
    <xf numFmtId="0" fontId="5" fillId="8" borderId="1" xfId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4" borderId="0" xfId="0" applyFill="1"/>
    <xf numFmtId="0" fontId="0" fillId="7" borderId="0" xfId="0" applyFill="1"/>
    <xf numFmtId="0" fontId="7" fillId="0" borderId="1" xfId="0" applyFont="1" applyBorder="1" applyAlignment="1">
      <alignment horizontal="center"/>
    </xf>
    <xf numFmtId="0" fontId="0" fillId="6" borderId="0" xfId="0" applyFill="1"/>
    <xf numFmtId="0" fontId="0" fillId="9" borderId="0" xfId="0" applyFill="1"/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10" borderId="0" xfId="0" applyFill="1"/>
    <xf numFmtId="0" fontId="10" fillId="0" borderId="1" xfId="1" applyFont="1" applyBorder="1" applyAlignment="1">
      <alignment horizontal="center"/>
    </xf>
    <xf numFmtId="0" fontId="0" fillId="0" borderId="0" xfId="0" applyFill="1" applyAlignment="1">
      <alignment vertical="center"/>
    </xf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9" fontId="0" fillId="0" borderId="1" xfId="0" applyNumberFormat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9" fontId="0" fillId="0" borderId="1" xfId="0" applyNumberFormat="1" applyFill="1" applyBorder="1" applyAlignment="1">
      <alignment horizontal="center"/>
    </xf>
    <xf numFmtId="9" fontId="0" fillId="0" borderId="1" xfId="0" applyNumberForma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4" fillId="0" borderId="1" xfId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13" fillId="12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4" fillId="5" borderId="0" xfId="0" applyFont="1" applyFill="1" applyAlignment="1">
      <alignment horizontal="center"/>
    </xf>
    <xf numFmtId="0" fontId="4" fillId="13" borderId="1" xfId="1" applyFont="1" applyFill="1" applyBorder="1" applyAlignment="1">
      <alignment horizontal="center" vertical="center" wrapText="1"/>
    </xf>
    <xf numFmtId="0" fontId="4" fillId="14" borderId="1" xfId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/>
    </xf>
    <xf numFmtId="0" fontId="0" fillId="15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5" fillId="16" borderId="1" xfId="1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15" fillId="0" borderId="1" xfId="0" applyFont="1" applyBorder="1" applyAlignment="1">
      <alignment horizontal="left" vertical="center" wrapText="1" readingOrder="1"/>
    </xf>
    <xf numFmtId="0" fontId="15" fillId="19" borderId="1" xfId="0" applyFont="1" applyFill="1" applyBorder="1" applyAlignment="1">
      <alignment horizontal="center" vertical="center" wrapText="1" readingOrder="1"/>
    </xf>
    <xf numFmtId="0" fontId="15" fillId="20" borderId="1" xfId="0" applyFont="1" applyFill="1" applyBorder="1" applyAlignment="1">
      <alignment horizontal="left" vertical="center" wrapText="1" readingOrder="1"/>
    </xf>
    <xf numFmtId="0" fontId="16" fillId="0" borderId="1" xfId="0" applyFont="1" applyBorder="1" applyAlignment="1">
      <alignment horizontal="left" vertical="center" wrapText="1" readingOrder="1"/>
    </xf>
    <xf numFmtId="0" fontId="17" fillId="16" borderId="1" xfId="0" applyFont="1" applyFill="1" applyBorder="1" applyAlignment="1">
      <alignment horizontal="center" vertical="center" wrapText="1" readingOrder="1"/>
    </xf>
    <xf numFmtId="0" fontId="18" fillId="19" borderId="1" xfId="0" applyFont="1" applyFill="1" applyBorder="1" applyAlignment="1">
      <alignment horizontal="center" vertical="center" wrapText="1" readingOrder="1"/>
    </xf>
    <xf numFmtId="0" fontId="17" fillId="19" borderId="1" xfId="0" applyFont="1" applyFill="1" applyBorder="1" applyAlignment="1">
      <alignment horizontal="center" vertical="center" wrapText="1" readingOrder="1"/>
    </xf>
    <xf numFmtId="0" fontId="0" fillId="0" borderId="1" xfId="0" applyBorder="1"/>
    <xf numFmtId="1" fontId="0" fillId="0" borderId="1" xfId="0" applyNumberFormat="1" applyBorder="1"/>
    <xf numFmtId="0" fontId="0" fillId="21" borderId="2" xfId="0" applyFill="1" applyBorder="1"/>
    <xf numFmtId="1" fontId="0" fillId="21" borderId="3" xfId="0" applyNumberFormat="1" applyFill="1" applyBorder="1"/>
    <xf numFmtId="0" fontId="17" fillId="22" borderId="1" xfId="0" applyFont="1" applyFill="1" applyBorder="1" applyAlignment="1">
      <alignment horizontal="center" vertical="center" wrapText="1" readingOrder="1"/>
    </xf>
    <xf numFmtId="0" fontId="19" fillId="19" borderId="1" xfId="0" applyFont="1" applyFill="1" applyBorder="1" applyAlignment="1">
      <alignment horizontal="center" vertical="center" wrapText="1"/>
    </xf>
    <xf numFmtId="0" fontId="0" fillId="21" borderId="4" xfId="0" applyFill="1" applyBorder="1"/>
    <xf numFmtId="0" fontId="0" fillId="21" borderId="5" xfId="0" applyFill="1" applyBorder="1"/>
    <xf numFmtId="0" fontId="20" fillId="23" borderId="1" xfId="0" applyFont="1" applyFill="1" applyBorder="1" applyAlignment="1">
      <alignment horizontal="center" vertical="center" wrapText="1" readingOrder="1"/>
    </xf>
    <xf numFmtId="0" fontId="17" fillId="10" borderId="1" xfId="0" applyFont="1" applyFill="1" applyBorder="1" applyAlignment="1">
      <alignment horizontal="center" vertical="center" wrapText="1" readingOrder="1"/>
    </xf>
    <xf numFmtId="0" fontId="18" fillId="19" borderId="1" xfId="0" applyFont="1" applyFill="1" applyBorder="1" applyAlignment="1">
      <alignment horizontal="center" wrapText="1" readingOrder="1"/>
    </xf>
    <xf numFmtId="0" fontId="0" fillId="21" borderId="6" xfId="0" applyFill="1" applyBorder="1"/>
    <xf numFmtId="0" fontId="0" fillId="21" borderId="7" xfId="0" applyFill="1" applyBorder="1"/>
    <xf numFmtId="0" fontId="17" fillId="24" borderId="1" xfId="0" applyFont="1" applyFill="1" applyBorder="1" applyAlignment="1">
      <alignment horizontal="center" vertical="center" wrapText="1" readingOrder="1"/>
    </xf>
    <xf numFmtId="0" fontId="17" fillId="25" borderId="1" xfId="0" applyFont="1" applyFill="1" applyBorder="1" applyAlignment="1">
      <alignment horizontal="center" vertical="center" wrapText="1" readingOrder="1"/>
    </xf>
    <xf numFmtId="0" fontId="17" fillId="26" borderId="1" xfId="0" applyFont="1" applyFill="1" applyBorder="1" applyAlignment="1">
      <alignment horizontal="left" vertical="center" wrapText="1" readingOrder="1"/>
    </xf>
    <xf numFmtId="0" fontId="17" fillId="27" borderId="1" xfId="0" applyFont="1" applyFill="1" applyBorder="1" applyAlignment="1">
      <alignment horizontal="center" vertical="center" wrapText="1" readingOrder="1"/>
    </xf>
    <xf numFmtId="0" fontId="15" fillId="28" borderId="1" xfId="0" applyFont="1" applyFill="1" applyBorder="1" applyAlignment="1">
      <alignment horizontal="left" vertical="center" wrapText="1" readingOrder="1"/>
    </xf>
    <xf numFmtId="0" fontId="19" fillId="19" borderId="1" xfId="0" applyFont="1" applyFill="1" applyBorder="1" applyAlignment="1">
      <alignment horizontal="center" vertical="top" wrapText="1"/>
    </xf>
    <xf numFmtId="0" fontId="17" fillId="29" borderId="1" xfId="0" applyFont="1" applyFill="1" applyBorder="1" applyAlignment="1">
      <alignment horizontal="left" vertical="center" wrapText="1" readingOrder="1"/>
    </xf>
    <xf numFmtId="0" fontId="15" fillId="30" borderId="1" xfId="0" applyFont="1" applyFill="1" applyBorder="1" applyAlignment="1">
      <alignment horizontal="left" vertical="center" wrapText="1" readingOrder="1"/>
    </xf>
    <xf numFmtId="0" fontId="20" fillId="31" borderId="1" xfId="0" applyFont="1" applyFill="1" applyBorder="1" applyAlignment="1">
      <alignment horizontal="center" vertical="center" wrapText="1" readingOrder="1"/>
    </xf>
    <xf numFmtId="0" fontId="17" fillId="30" borderId="1" xfId="0" applyFont="1" applyFill="1" applyBorder="1" applyAlignment="1">
      <alignment horizontal="left" vertical="center" wrapText="1" readingOrder="1"/>
    </xf>
    <xf numFmtId="0" fontId="17" fillId="32" borderId="1" xfId="0" applyFont="1" applyFill="1" applyBorder="1" applyAlignment="1">
      <alignment horizontal="center" vertical="center" wrapText="1" readingOrder="1"/>
    </xf>
    <xf numFmtId="0" fontId="0" fillId="33" borderId="1" xfId="0" applyFill="1" applyBorder="1"/>
    <xf numFmtId="0" fontId="17" fillId="34" borderId="1" xfId="0" applyFont="1" applyFill="1" applyBorder="1" applyAlignment="1">
      <alignment horizontal="left" vertical="center" wrapText="1" readingOrder="1"/>
    </xf>
    <xf numFmtId="0" fontId="17" fillId="35" borderId="1" xfId="0" applyFont="1" applyFill="1" applyBorder="1" applyAlignment="1">
      <alignment horizontal="center" vertical="center" wrapText="1" readingOrder="1"/>
    </xf>
    <xf numFmtId="0" fontId="15" fillId="19" borderId="0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right"/>
    </xf>
    <xf numFmtId="0" fontId="2" fillId="0" borderId="0" xfId="0" applyFont="1"/>
    <xf numFmtId="0" fontId="22" fillId="19" borderId="1" xfId="0" applyFont="1" applyFill="1" applyBorder="1" applyAlignment="1">
      <alignment horizontal="center" vertical="center" wrapText="1" readingOrder="1"/>
    </xf>
    <xf numFmtId="0" fontId="22" fillId="2" borderId="1" xfId="0" applyFont="1" applyFill="1" applyBorder="1" applyAlignment="1">
      <alignment horizontal="center" vertical="center" wrapText="1" readingOrder="1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23" fillId="0" borderId="1" xfId="0" applyFont="1" applyBorder="1" applyAlignment="1">
      <alignment horizontal="left" vertical="center" wrapText="1" readingOrder="1"/>
    </xf>
    <xf numFmtId="0" fontId="24" fillId="0" borderId="1" xfId="0" applyFont="1" applyBorder="1" applyAlignment="1">
      <alignment horizontal="left" vertical="center" wrapText="1" readingOrder="1"/>
    </xf>
    <xf numFmtId="0" fontId="15" fillId="21" borderId="1" xfId="0" applyFont="1" applyFill="1" applyBorder="1" applyAlignment="1">
      <alignment horizontal="center" vertical="center" wrapText="1" readingOrder="1"/>
    </xf>
    <xf numFmtId="0" fontId="25" fillId="0" borderId="1" xfId="0" applyFont="1" applyBorder="1" applyAlignment="1">
      <alignment horizontal="left" vertical="center" wrapText="1" readingOrder="1"/>
    </xf>
    <xf numFmtId="0" fontId="0" fillId="33" borderId="0" xfId="0" applyFill="1"/>
    <xf numFmtId="0" fontId="27" fillId="0" borderId="1" xfId="0" applyFont="1" applyBorder="1" applyAlignment="1">
      <alignment horizontal="left" vertical="center" wrapText="1" readingOrder="1"/>
    </xf>
    <xf numFmtId="0" fontId="28" fillId="0" borderId="1" xfId="0" applyFont="1" applyBorder="1" applyAlignment="1">
      <alignment horizontal="left" vertical="center" wrapText="1" readingOrder="1"/>
    </xf>
    <xf numFmtId="0" fontId="30" fillId="0" borderId="1" xfId="0" applyFont="1" applyBorder="1" applyAlignment="1">
      <alignment horizontal="left" vertical="center" wrapText="1" readingOrder="1"/>
    </xf>
    <xf numFmtId="0" fontId="31" fillId="0" borderId="1" xfId="0" applyFont="1" applyBorder="1" applyAlignment="1">
      <alignment horizontal="left" vertical="center" wrapText="1" readingOrder="1"/>
    </xf>
    <xf numFmtId="0" fontId="32" fillId="0" borderId="1" xfId="0" applyFont="1" applyBorder="1" applyAlignment="1">
      <alignment horizontal="left" vertical="center" wrapText="1" readingOrder="1"/>
    </xf>
    <xf numFmtId="0" fontId="33" fillId="0" borderId="1" xfId="0" applyFont="1" applyBorder="1" applyAlignment="1">
      <alignment horizontal="left" vertical="center" wrapText="1" readingOrder="1"/>
    </xf>
    <xf numFmtId="0" fontId="34" fillId="0" borderId="1" xfId="0" applyFont="1" applyBorder="1" applyAlignment="1">
      <alignment horizontal="center" vertical="center" wrapText="1" readingOrder="1"/>
    </xf>
    <xf numFmtId="0" fontId="34" fillId="36" borderId="1" xfId="0" applyFont="1" applyFill="1" applyBorder="1" applyAlignment="1">
      <alignment horizontal="center" vertical="center" wrapText="1" readingOrder="1"/>
    </xf>
    <xf numFmtId="0" fontId="35" fillId="0" borderId="1" xfId="0" applyFont="1" applyBorder="1" applyAlignment="1">
      <alignment horizontal="left" vertical="center" wrapText="1" readingOrder="1"/>
    </xf>
    <xf numFmtId="0" fontId="34" fillId="38" borderId="1" xfId="0" applyFont="1" applyFill="1" applyBorder="1" applyAlignment="1">
      <alignment horizontal="center" vertical="center" wrapText="1" readingOrder="1"/>
    </xf>
    <xf numFmtId="0" fontId="34" fillId="37" borderId="1" xfId="0" applyFont="1" applyFill="1" applyBorder="1" applyAlignment="1">
      <alignment horizontal="center" vertical="center" wrapText="1" readingOrder="1"/>
    </xf>
    <xf numFmtId="0" fontId="37" fillId="0" borderId="1" xfId="0" applyFont="1" applyBorder="1" applyAlignment="1">
      <alignment horizontal="left" vertical="center" wrapText="1" readingOrder="1"/>
    </xf>
    <xf numFmtId="0" fontId="37" fillId="0" borderId="1" xfId="0" applyFont="1" applyFill="1" applyBorder="1" applyAlignment="1">
      <alignment horizontal="left" vertical="center" wrapText="1" readingOrder="1"/>
    </xf>
    <xf numFmtId="0" fontId="38" fillId="0" borderId="1" xfId="0" applyFont="1" applyBorder="1" applyAlignment="1">
      <alignment horizontal="left" vertical="center" wrapText="1" readingOrder="1"/>
    </xf>
    <xf numFmtId="0" fontId="9" fillId="0" borderId="0" xfId="0" applyFont="1"/>
    <xf numFmtId="9" fontId="0" fillId="0" borderId="0" xfId="0" applyNumberFormat="1" applyBorder="1" applyAlignment="1">
      <alignment horizontal="center"/>
    </xf>
    <xf numFmtId="0" fontId="0" fillId="16" borderId="0" xfId="0" applyFill="1" applyBorder="1" applyAlignment="1">
      <alignment horizontal="center"/>
    </xf>
    <xf numFmtId="0" fontId="2" fillId="0" borderId="8" xfId="0" applyFont="1" applyBorder="1" applyAlignment="1">
      <alignment horizontal="center"/>
    </xf>
  </cellXfs>
  <cellStyles count="2">
    <cellStyle name="Normal" xfId="0" builtinId="0"/>
    <cellStyle name="Normal 2" xfId="1" xr:uid="{187AB0C7-8DE2-4948-944A-ACFA6E5C83D4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B"/>
      <color rgb="FFFF9797"/>
      <color rgb="FF81B7F3"/>
      <color rgb="FFCC0000"/>
      <color rgb="FFFF6699"/>
      <color rgb="FFFF66FF"/>
      <color rgb="FFD60093"/>
      <color rgb="FFFFCCCC"/>
      <color rgb="FFFF9999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45EBC-C7DD-478E-A3EB-262078914BC5}">
  <sheetPr>
    <pageSetUpPr fitToPage="1"/>
  </sheetPr>
  <dimension ref="A1:E37"/>
  <sheetViews>
    <sheetView tabSelected="1" zoomScale="70" zoomScaleNormal="70" workbookViewId="0">
      <selection activeCell="L16" sqref="L16"/>
    </sheetView>
  </sheetViews>
  <sheetFormatPr defaultRowHeight="14.4" x14ac:dyDescent="0.3"/>
  <cols>
    <col min="1" max="1" width="13.21875" style="3" customWidth="1"/>
    <col min="2" max="2" width="28.6640625" customWidth="1"/>
    <col min="3" max="3" width="53.33203125" customWidth="1"/>
  </cols>
  <sheetData>
    <row r="1" spans="1:5" ht="16.2" customHeight="1" x14ac:dyDescent="0.3">
      <c r="A1" s="116"/>
      <c r="B1" s="116" t="s">
        <v>82</v>
      </c>
      <c r="C1" s="23" t="s">
        <v>192</v>
      </c>
    </row>
    <row r="2" spans="1:5" ht="16.2" customHeight="1" x14ac:dyDescent="0.3">
      <c r="A2" s="117" t="s">
        <v>201</v>
      </c>
      <c r="B2" s="118" t="s">
        <v>237</v>
      </c>
      <c r="C2" s="71"/>
    </row>
    <row r="3" spans="1:5" ht="16.2" customHeight="1" x14ac:dyDescent="0.3">
      <c r="A3" s="117" t="s">
        <v>202</v>
      </c>
      <c r="B3" s="118" t="s">
        <v>132</v>
      </c>
      <c r="C3" s="71"/>
      <c r="E3" s="124" t="s">
        <v>241</v>
      </c>
    </row>
    <row r="4" spans="1:5" ht="16.2" customHeight="1" x14ac:dyDescent="0.3">
      <c r="A4" s="117" t="s">
        <v>203</v>
      </c>
      <c r="B4" s="118" t="s">
        <v>140</v>
      </c>
      <c r="C4" s="71"/>
    </row>
    <row r="5" spans="1:5" ht="16.2" customHeight="1" x14ac:dyDescent="0.3">
      <c r="A5" s="117" t="s">
        <v>204</v>
      </c>
      <c r="B5" s="123" t="s">
        <v>96</v>
      </c>
      <c r="C5" s="71"/>
    </row>
    <row r="6" spans="1:5" ht="16.2" customHeight="1" x14ac:dyDescent="0.3">
      <c r="A6" s="117" t="s">
        <v>205</v>
      </c>
      <c r="B6" s="123" t="s">
        <v>120</v>
      </c>
      <c r="C6" s="71"/>
    </row>
    <row r="7" spans="1:5" ht="16.2" customHeight="1" x14ac:dyDescent="0.3">
      <c r="A7" s="117" t="s">
        <v>206</v>
      </c>
      <c r="B7" s="118" t="s">
        <v>98</v>
      </c>
      <c r="C7" s="71"/>
    </row>
    <row r="8" spans="1:5" ht="16.2" customHeight="1" x14ac:dyDescent="0.3">
      <c r="A8" s="117" t="s">
        <v>207</v>
      </c>
      <c r="B8" s="123" t="s">
        <v>129</v>
      </c>
      <c r="C8" s="71"/>
    </row>
    <row r="9" spans="1:5" ht="16.2" customHeight="1" x14ac:dyDescent="0.3">
      <c r="A9" s="117" t="s">
        <v>208</v>
      </c>
      <c r="B9" s="118" t="s">
        <v>127</v>
      </c>
      <c r="C9" s="71"/>
    </row>
    <row r="10" spans="1:5" ht="16.2" customHeight="1" x14ac:dyDescent="0.3">
      <c r="A10" s="117" t="s">
        <v>209</v>
      </c>
      <c r="B10" s="123" t="s">
        <v>128</v>
      </c>
      <c r="C10" s="71"/>
    </row>
    <row r="11" spans="1:5" ht="16.2" customHeight="1" x14ac:dyDescent="0.3">
      <c r="A11" s="117" t="s">
        <v>210</v>
      </c>
      <c r="B11" s="118" t="s">
        <v>176</v>
      </c>
      <c r="C11" s="71"/>
    </row>
    <row r="12" spans="1:5" ht="16.2" customHeight="1" x14ac:dyDescent="0.3">
      <c r="A12" s="117" t="s">
        <v>200</v>
      </c>
      <c r="B12" s="118" t="s">
        <v>177</v>
      </c>
      <c r="C12" s="71"/>
    </row>
    <row r="13" spans="1:5" ht="16.2" customHeight="1" x14ac:dyDescent="0.3">
      <c r="A13" s="117" t="s">
        <v>211</v>
      </c>
      <c r="B13" s="121" t="s">
        <v>236</v>
      </c>
      <c r="C13" s="71"/>
    </row>
    <row r="14" spans="1:5" ht="16.2" customHeight="1" x14ac:dyDescent="0.3">
      <c r="A14" s="119" t="s">
        <v>212</v>
      </c>
      <c r="B14" s="123" t="s">
        <v>240</v>
      </c>
      <c r="C14" s="71"/>
    </row>
    <row r="15" spans="1:5" ht="16.2" customHeight="1" x14ac:dyDescent="0.3">
      <c r="A15" s="119" t="s">
        <v>213</v>
      </c>
      <c r="B15" s="118" t="s">
        <v>180</v>
      </c>
      <c r="C15" s="71"/>
    </row>
    <row r="16" spans="1:5" ht="16.2" customHeight="1" x14ac:dyDescent="0.3">
      <c r="A16" s="119" t="s">
        <v>214</v>
      </c>
      <c r="B16" s="118" t="s">
        <v>37</v>
      </c>
      <c r="C16" s="71"/>
    </row>
    <row r="17" spans="1:3" ht="16.2" customHeight="1" x14ac:dyDescent="0.3">
      <c r="A17" s="119" t="s">
        <v>215</v>
      </c>
      <c r="B17" s="123" t="s">
        <v>93</v>
      </c>
      <c r="C17" s="71"/>
    </row>
    <row r="18" spans="1:3" ht="16.2" customHeight="1" x14ac:dyDescent="0.3">
      <c r="A18" s="119" t="s">
        <v>216</v>
      </c>
      <c r="B18" s="118" t="s">
        <v>118</v>
      </c>
      <c r="C18" s="71"/>
    </row>
    <row r="19" spans="1:3" ht="16.2" customHeight="1" x14ac:dyDescent="0.3">
      <c r="A19" s="119" t="s">
        <v>217</v>
      </c>
      <c r="B19" s="118" t="s">
        <v>238</v>
      </c>
      <c r="C19" s="71"/>
    </row>
    <row r="20" spans="1:3" ht="16.2" customHeight="1" x14ac:dyDescent="0.3">
      <c r="A20" s="119" t="s">
        <v>218</v>
      </c>
      <c r="B20" s="118" t="s">
        <v>97</v>
      </c>
      <c r="C20" s="71"/>
    </row>
    <row r="21" spans="1:3" ht="16.2" customHeight="1" x14ac:dyDescent="0.3">
      <c r="A21" s="119" t="s">
        <v>219</v>
      </c>
      <c r="B21" s="123" t="s">
        <v>102</v>
      </c>
      <c r="C21" s="71"/>
    </row>
    <row r="22" spans="1:3" ht="16.2" customHeight="1" x14ac:dyDescent="0.3">
      <c r="A22" s="119" t="s">
        <v>220</v>
      </c>
      <c r="B22" s="118" t="s">
        <v>181</v>
      </c>
      <c r="C22" s="71"/>
    </row>
    <row r="23" spans="1:3" ht="16.2" customHeight="1" x14ac:dyDescent="0.3">
      <c r="A23" s="119" t="s">
        <v>221</v>
      </c>
      <c r="B23" s="118" t="s">
        <v>135</v>
      </c>
      <c r="C23" s="71"/>
    </row>
    <row r="24" spans="1:3" ht="16.2" customHeight="1" x14ac:dyDescent="0.3">
      <c r="A24" s="119" t="s">
        <v>222</v>
      </c>
      <c r="B24" s="118" t="s">
        <v>138</v>
      </c>
      <c r="C24" s="71"/>
    </row>
    <row r="25" spans="1:3" ht="16.2" customHeight="1" x14ac:dyDescent="0.3">
      <c r="A25" s="119" t="s">
        <v>235</v>
      </c>
      <c r="B25" s="121" t="s">
        <v>236</v>
      </c>
      <c r="C25" s="71"/>
    </row>
    <row r="26" spans="1:3" ht="16.2" customHeight="1" x14ac:dyDescent="0.3">
      <c r="A26" s="120" t="s">
        <v>223</v>
      </c>
      <c r="B26" s="118" t="s">
        <v>237</v>
      </c>
      <c r="C26" s="71"/>
    </row>
    <row r="27" spans="1:3" ht="16.2" customHeight="1" x14ac:dyDescent="0.3">
      <c r="A27" s="120" t="s">
        <v>224</v>
      </c>
      <c r="B27" s="118" t="s">
        <v>137</v>
      </c>
      <c r="C27" s="71"/>
    </row>
    <row r="28" spans="1:3" ht="16.2" customHeight="1" x14ac:dyDescent="0.3">
      <c r="A28" s="120" t="s">
        <v>225</v>
      </c>
      <c r="B28" s="118" t="s">
        <v>131</v>
      </c>
      <c r="C28" s="71"/>
    </row>
    <row r="29" spans="1:3" ht="16.2" customHeight="1" x14ac:dyDescent="0.3">
      <c r="A29" s="120" t="s">
        <v>226</v>
      </c>
      <c r="B29" s="118" t="s">
        <v>114</v>
      </c>
      <c r="C29" s="71"/>
    </row>
    <row r="30" spans="1:3" ht="16.2" customHeight="1" x14ac:dyDescent="0.3">
      <c r="A30" s="120" t="s">
        <v>227</v>
      </c>
      <c r="B30" s="118" t="s">
        <v>123</v>
      </c>
      <c r="C30" s="71"/>
    </row>
    <row r="31" spans="1:3" ht="16.2" customHeight="1" x14ac:dyDescent="0.3">
      <c r="A31" s="120" t="s">
        <v>228</v>
      </c>
      <c r="B31" s="118" t="s">
        <v>124</v>
      </c>
      <c r="C31" s="71"/>
    </row>
    <row r="32" spans="1:3" ht="16.2" customHeight="1" x14ac:dyDescent="0.3">
      <c r="A32" s="120" t="s">
        <v>229</v>
      </c>
      <c r="B32" s="118" t="s">
        <v>113</v>
      </c>
      <c r="C32" s="71"/>
    </row>
    <row r="33" spans="1:3" ht="16.2" customHeight="1" x14ac:dyDescent="0.3">
      <c r="A33" s="120" t="s">
        <v>230</v>
      </c>
      <c r="B33" s="118" t="s">
        <v>125</v>
      </c>
      <c r="C33" s="71"/>
    </row>
    <row r="34" spans="1:3" ht="16.2" customHeight="1" x14ac:dyDescent="0.3">
      <c r="A34" s="120" t="s">
        <v>231</v>
      </c>
      <c r="B34" s="123" t="s">
        <v>239</v>
      </c>
      <c r="C34" s="71"/>
    </row>
    <row r="35" spans="1:3" ht="16.2" customHeight="1" x14ac:dyDescent="0.3">
      <c r="A35" s="120" t="s">
        <v>232</v>
      </c>
      <c r="B35" s="118" t="s">
        <v>136</v>
      </c>
      <c r="C35" s="71"/>
    </row>
    <row r="36" spans="1:3" ht="16.2" customHeight="1" x14ac:dyDescent="0.3">
      <c r="A36" s="120" t="s">
        <v>233</v>
      </c>
      <c r="B36" s="118" t="s">
        <v>119</v>
      </c>
      <c r="C36" s="71"/>
    </row>
    <row r="37" spans="1:3" ht="16.2" customHeight="1" x14ac:dyDescent="0.3">
      <c r="A37" s="120" t="s">
        <v>234</v>
      </c>
      <c r="B37" s="122" t="s">
        <v>236</v>
      </c>
      <c r="C37" s="71"/>
    </row>
  </sheetData>
  <pageMargins left="0.7" right="0.7" top="0.75" bottom="0.75" header="0.3" footer="0.3"/>
  <pageSetup paperSize="9" scale="7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B9D6D-4783-4EF5-B109-CD10BA424119}">
  <dimension ref="A1:AV44"/>
  <sheetViews>
    <sheetView zoomScale="70" zoomScaleNormal="70" workbookViewId="0">
      <pane xSplit="5" ySplit="1" topLeftCell="F17" activePane="bottomRight" state="frozen"/>
      <selection pane="topRight" activeCell="E1" sqref="E1"/>
      <selection pane="bottomLeft" activeCell="A2" sqref="A2"/>
      <selection pane="bottomRight" activeCell="G31" sqref="G31:G34"/>
    </sheetView>
  </sheetViews>
  <sheetFormatPr defaultRowHeight="14.4" x14ac:dyDescent="0.3"/>
  <cols>
    <col min="1" max="1" width="8.88671875" style="3"/>
    <col min="2" max="2" width="9.5546875" style="3" customWidth="1"/>
    <col min="3" max="3" width="18.33203125" style="3" customWidth="1"/>
    <col min="4" max="4" width="10.88671875" style="3" customWidth="1"/>
    <col min="5" max="5" width="27.33203125" style="3" customWidth="1"/>
    <col min="6" max="6" width="18.44140625" style="3" customWidth="1"/>
    <col min="7" max="7" width="23.6640625" style="3" customWidth="1"/>
    <col min="8" max="8" width="16.88671875" style="3" customWidth="1"/>
    <col min="9" max="9" width="15.44140625" style="3" customWidth="1"/>
    <col min="10" max="10" width="16.88671875" style="3" customWidth="1"/>
    <col min="11" max="11" width="26.109375" style="3" customWidth="1"/>
    <col min="12" max="12" width="11.6640625" style="3" customWidth="1"/>
    <col min="13" max="13" width="11.88671875" style="3" customWidth="1"/>
    <col min="14" max="14" width="15" style="3" customWidth="1"/>
    <col min="15" max="15" width="14.109375" style="3" customWidth="1"/>
    <col min="16" max="16" width="14.33203125" style="3" customWidth="1"/>
    <col min="17" max="22" width="8.88671875" style="2"/>
    <col min="23" max="48" width="9.109375" style="2"/>
  </cols>
  <sheetData>
    <row r="1" spans="1:48" s="1" customFormat="1" x14ac:dyDescent="0.3">
      <c r="A1" s="9" t="s">
        <v>80</v>
      </c>
      <c r="B1" s="9" t="s">
        <v>81</v>
      </c>
      <c r="C1" s="10" t="s">
        <v>187</v>
      </c>
      <c r="D1" s="10" t="s">
        <v>242</v>
      </c>
      <c r="E1" s="9" t="s">
        <v>82</v>
      </c>
      <c r="F1" s="9" t="s">
        <v>83</v>
      </c>
      <c r="G1" s="10" t="s">
        <v>84</v>
      </c>
      <c r="H1" s="10" t="s">
        <v>85</v>
      </c>
      <c r="I1" s="9" t="s">
        <v>86</v>
      </c>
      <c r="J1" s="55" t="s">
        <v>87</v>
      </c>
      <c r="K1" s="55" t="s">
        <v>89</v>
      </c>
      <c r="L1" s="47" t="s">
        <v>157</v>
      </c>
      <c r="M1" s="10" t="s">
        <v>88</v>
      </c>
      <c r="N1" s="10" t="s">
        <v>91</v>
      </c>
      <c r="O1" s="10" t="s">
        <v>145</v>
      </c>
      <c r="P1" s="53" t="s">
        <v>90</v>
      </c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</row>
    <row r="2" spans="1:48" s="14" customFormat="1" x14ac:dyDescent="0.3">
      <c r="A2" s="15">
        <v>11</v>
      </c>
      <c r="B2" s="16">
        <v>11</v>
      </c>
      <c r="C2" s="18" t="s">
        <v>95</v>
      </c>
      <c r="D2" s="18" t="s">
        <v>243</v>
      </c>
      <c r="E2" s="13" t="s">
        <v>128</v>
      </c>
      <c r="F2" s="13" t="s">
        <v>94</v>
      </c>
      <c r="G2" s="63" t="s">
        <v>57</v>
      </c>
      <c r="H2" s="13" t="s">
        <v>58</v>
      </c>
      <c r="I2" s="43">
        <v>0.6</v>
      </c>
      <c r="J2" s="13" t="s">
        <v>101</v>
      </c>
      <c r="K2" s="13" t="s">
        <v>149</v>
      </c>
      <c r="L2" s="52"/>
      <c r="M2" s="48"/>
      <c r="N2" s="13"/>
      <c r="O2" s="22"/>
      <c r="P2" s="9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</row>
    <row r="3" spans="1:48" s="17" customFormat="1" x14ac:dyDescent="0.3">
      <c r="A3" s="15">
        <v>6</v>
      </c>
      <c r="B3" s="16">
        <v>6</v>
      </c>
      <c r="C3" s="16" t="s">
        <v>95</v>
      </c>
      <c r="D3" s="16" t="s">
        <v>243</v>
      </c>
      <c r="E3" s="40" t="s">
        <v>96</v>
      </c>
      <c r="F3" s="13" t="s">
        <v>94</v>
      </c>
      <c r="G3" s="25" t="s">
        <v>49</v>
      </c>
      <c r="H3" s="13" t="s">
        <v>51</v>
      </c>
      <c r="I3" s="44">
        <v>1</v>
      </c>
      <c r="J3" s="13" t="s">
        <v>101</v>
      </c>
      <c r="K3" s="13" t="s">
        <v>147</v>
      </c>
      <c r="L3" s="13"/>
      <c r="M3" s="48" t="s">
        <v>144</v>
      </c>
      <c r="N3" s="57"/>
      <c r="O3" s="13"/>
      <c r="P3" s="13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</row>
    <row r="4" spans="1:48" s="17" customFormat="1" x14ac:dyDescent="0.3">
      <c r="A4" s="16">
        <v>7</v>
      </c>
      <c r="B4" s="16">
        <v>7</v>
      </c>
      <c r="C4" s="18" t="s">
        <v>95</v>
      </c>
      <c r="D4" s="18" t="s">
        <v>243</v>
      </c>
      <c r="E4" s="13" t="s">
        <v>98</v>
      </c>
      <c r="F4" s="13" t="s">
        <v>94</v>
      </c>
      <c r="G4" s="25" t="s">
        <v>49</v>
      </c>
      <c r="H4" s="13" t="s">
        <v>52</v>
      </c>
      <c r="I4" s="44">
        <v>0.82</v>
      </c>
      <c r="J4" s="13" t="s">
        <v>101</v>
      </c>
      <c r="K4" s="13" t="s">
        <v>150</v>
      </c>
      <c r="L4" s="13"/>
      <c r="M4" s="48" t="s">
        <v>144</v>
      </c>
      <c r="N4" s="13"/>
      <c r="O4" s="13"/>
      <c r="P4" s="13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</row>
    <row r="5" spans="1:48" s="17" customFormat="1" x14ac:dyDescent="0.3">
      <c r="A5" s="16">
        <v>4</v>
      </c>
      <c r="B5" s="16">
        <v>4</v>
      </c>
      <c r="C5" s="16" t="s">
        <v>95</v>
      </c>
      <c r="D5" s="16" t="s">
        <v>243</v>
      </c>
      <c r="E5" s="13" t="s">
        <v>120</v>
      </c>
      <c r="F5" s="13" t="s">
        <v>94</v>
      </c>
      <c r="G5" s="25" t="s">
        <v>49</v>
      </c>
      <c r="H5" s="13" t="s">
        <v>50</v>
      </c>
      <c r="I5" s="43">
        <v>0.22</v>
      </c>
      <c r="J5" s="13" t="s">
        <v>101</v>
      </c>
      <c r="K5" s="13" t="s">
        <v>147</v>
      </c>
      <c r="L5" s="13"/>
      <c r="M5" s="48" t="s">
        <v>144</v>
      </c>
      <c r="N5" s="13"/>
      <c r="O5" s="13"/>
      <c r="P5" s="13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</row>
    <row r="6" spans="1:48" s="17" customFormat="1" x14ac:dyDescent="0.3">
      <c r="A6" s="19">
        <v>12</v>
      </c>
      <c r="B6" s="20">
        <v>12</v>
      </c>
      <c r="C6" s="18" t="s">
        <v>95</v>
      </c>
      <c r="D6" s="18" t="s">
        <v>243</v>
      </c>
      <c r="E6" s="13" t="s">
        <v>127</v>
      </c>
      <c r="F6" s="13" t="s">
        <v>94</v>
      </c>
      <c r="G6" s="25" t="s">
        <v>49</v>
      </c>
      <c r="H6" s="13" t="s">
        <v>60</v>
      </c>
      <c r="I6" s="43">
        <v>0.38</v>
      </c>
      <c r="J6" s="13" t="s">
        <v>101</v>
      </c>
      <c r="K6" s="13" t="s">
        <v>151</v>
      </c>
      <c r="L6" s="13"/>
      <c r="M6" s="48"/>
      <c r="N6" s="13"/>
      <c r="O6" s="13"/>
      <c r="P6" s="13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</row>
    <row r="7" spans="1:48" s="17" customFormat="1" x14ac:dyDescent="0.3">
      <c r="A7" s="16">
        <v>8</v>
      </c>
      <c r="B7" s="16">
        <v>8</v>
      </c>
      <c r="C7" s="16" t="s">
        <v>95</v>
      </c>
      <c r="D7" s="16" t="s">
        <v>243</v>
      </c>
      <c r="E7" s="13" t="s">
        <v>129</v>
      </c>
      <c r="F7" s="13" t="s">
        <v>94</v>
      </c>
      <c r="G7" s="25" t="s">
        <v>49</v>
      </c>
      <c r="H7" s="13" t="s">
        <v>59</v>
      </c>
      <c r="I7" s="43">
        <v>0.72</v>
      </c>
      <c r="J7" s="13" t="s">
        <v>101</v>
      </c>
      <c r="K7" s="13" t="s">
        <v>147</v>
      </c>
      <c r="L7" s="52"/>
      <c r="M7" s="48"/>
      <c r="N7" s="57"/>
      <c r="O7" s="13" t="s">
        <v>146</v>
      </c>
      <c r="P7" s="13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</row>
    <row r="8" spans="1:48" s="17" customFormat="1" x14ac:dyDescent="0.3">
      <c r="A8" s="15">
        <v>1</v>
      </c>
      <c r="B8" s="16">
        <v>1</v>
      </c>
      <c r="C8" s="18" t="s">
        <v>95</v>
      </c>
      <c r="D8" s="18" t="s">
        <v>243</v>
      </c>
      <c r="E8" s="39" t="s">
        <v>103</v>
      </c>
      <c r="F8" s="9" t="s">
        <v>94</v>
      </c>
      <c r="G8" s="60" t="s">
        <v>61</v>
      </c>
      <c r="H8" s="13" t="s">
        <v>62</v>
      </c>
      <c r="I8" s="42">
        <v>0.96</v>
      </c>
      <c r="J8" s="22" t="s">
        <v>104</v>
      </c>
      <c r="K8" s="22" t="s">
        <v>152</v>
      </c>
      <c r="L8" s="22"/>
      <c r="M8" s="22"/>
      <c r="N8" s="56"/>
      <c r="O8" s="13"/>
      <c r="P8" s="13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</row>
    <row r="9" spans="1:48" s="17" customFormat="1" x14ac:dyDescent="0.3">
      <c r="A9" s="16">
        <v>9</v>
      </c>
      <c r="B9" s="16">
        <v>9</v>
      </c>
      <c r="C9" s="18" t="s">
        <v>95</v>
      </c>
      <c r="D9" s="18" t="s">
        <v>243</v>
      </c>
      <c r="E9" s="13" t="s">
        <v>122</v>
      </c>
      <c r="F9" s="13" t="s">
        <v>94</v>
      </c>
      <c r="G9" s="62" t="s">
        <v>53</v>
      </c>
      <c r="H9" s="13" t="s">
        <v>54</v>
      </c>
      <c r="I9" s="43">
        <v>0.7</v>
      </c>
      <c r="J9" s="13" t="s">
        <v>101</v>
      </c>
      <c r="K9" s="13" t="s">
        <v>147</v>
      </c>
      <c r="L9" s="13"/>
      <c r="M9" s="48" t="s">
        <v>144</v>
      </c>
      <c r="N9" s="57"/>
      <c r="O9" s="13"/>
      <c r="P9" s="13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</row>
    <row r="10" spans="1:48" s="17" customFormat="1" x14ac:dyDescent="0.3">
      <c r="A10" s="16">
        <v>2</v>
      </c>
      <c r="B10" s="16">
        <v>2</v>
      </c>
      <c r="C10" s="16" t="s">
        <v>95</v>
      </c>
      <c r="D10" s="16" t="s">
        <v>243</v>
      </c>
      <c r="E10" s="40" t="s">
        <v>132</v>
      </c>
      <c r="F10" s="31" t="s">
        <v>55</v>
      </c>
      <c r="G10" s="13"/>
      <c r="H10" s="13"/>
      <c r="I10" s="43">
        <v>0.8</v>
      </c>
      <c r="J10" s="22" t="s">
        <v>104</v>
      </c>
      <c r="K10" s="13" t="s">
        <v>147</v>
      </c>
      <c r="L10" s="13"/>
      <c r="M10" s="13"/>
      <c r="N10" s="57"/>
      <c r="O10" s="13"/>
      <c r="P10" s="13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</row>
    <row r="11" spans="1:48" s="17" customFormat="1" x14ac:dyDescent="0.3">
      <c r="A11" s="16">
        <v>3</v>
      </c>
      <c r="B11" s="16">
        <v>3</v>
      </c>
      <c r="C11" s="18" t="s">
        <v>95</v>
      </c>
      <c r="D11" s="18" t="s">
        <v>243</v>
      </c>
      <c r="E11" s="40" t="s">
        <v>140</v>
      </c>
      <c r="F11" s="21" t="s">
        <v>63</v>
      </c>
      <c r="G11" s="13"/>
      <c r="H11" s="13"/>
      <c r="I11" s="43">
        <v>0.5</v>
      </c>
      <c r="J11" s="22" t="s">
        <v>104</v>
      </c>
      <c r="K11" s="13" t="s">
        <v>147</v>
      </c>
      <c r="L11" s="13"/>
      <c r="M11" s="13"/>
      <c r="N11" s="57"/>
      <c r="O11" s="13"/>
      <c r="P11" s="13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</row>
    <row r="12" spans="1:48" s="26" customFormat="1" x14ac:dyDescent="0.3">
      <c r="A12" s="19">
        <v>13</v>
      </c>
      <c r="B12" s="20">
        <v>13</v>
      </c>
      <c r="C12" s="18" t="s">
        <v>99</v>
      </c>
      <c r="D12" s="18" t="s">
        <v>243</v>
      </c>
      <c r="E12" s="13" t="s">
        <v>100</v>
      </c>
      <c r="F12" s="13" t="s">
        <v>94</v>
      </c>
      <c r="G12" s="63" t="s">
        <v>57</v>
      </c>
      <c r="H12" s="13" t="s">
        <v>70</v>
      </c>
      <c r="I12" s="44">
        <v>0.95</v>
      </c>
      <c r="J12" s="13" t="s">
        <v>101</v>
      </c>
      <c r="K12" s="13" t="s">
        <v>149</v>
      </c>
      <c r="L12" s="13"/>
      <c r="M12" s="48" t="s">
        <v>144</v>
      </c>
      <c r="N12" s="13"/>
      <c r="O12" s="13"/>
      <c r="P12" s="13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</row>
    <row r="13" spans="1:48" s="26" customFormat="1" x14ac:dyDescent="0.3">
      <c r="A13" s="12">
        <v>19</v>
      </c>
      <c r="B13" s="12">
        <v>6</v>
      </c>
      <c r="C13" s="12" t="s">
        <v>92</v>
      </c>
      <c r="D13" s="12" t="s">
        <v>243</v>
      </c>
      <c r="E13" s="13" t="s">
        <v>97</v>
      </c>
      <c r="F13" s="13" t="s">
        <v>94</v>
      </c>
      <c r="G13" s="63" t="s">
        <v>57</v>
      </c>
      <c r="H13" s="13" t="s">
        <v>65</v>
      </c>
      <c r="I13" s="44">
        <v>0.75</v>
      </c>
      <c r="J13" s="13" t="s">
        <v>101</v>
      </c>
      <c r="K13" s="13" t="s">
        <v>154</v>
      </c>
      <c r="L13" s="13"/>
      <c r="M13" s="13"/>
      <c r="N13" s="13"/>
      <c r="O13" s="13"/>
      <c r="P13" s="13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</row>
    <row r="14" spans="1:48" s="26" customFormat="1" x14ac:dyDescent="0.3">
      <c r="A14" s="12">
        <v>17</v>
      </c>
      <c r="B14" s="12">
        <v>4</v>
      </c>
      <c r="C14" s="12" t="s">
        <v>92</v>
      </c>
      <c r="D14" s="12" t="s">
        <v>243</v>
      </c>
      <c r="E14" s="40" t="s">
        <v>93</v>
      </c>
      <c r="F14" s="13" t="s">
        <v>94</v>
      </c>
      <c r="G14" s="25" t="s">
        <v>49</v>
      </c>
      <c r="H14" s="13" t="s">
        <v>51</v>
      </c>
      <c r="I14" s="125">
        <v>0.5</v>
      </c>
      <c r="J14" s="13" t="s">
        <v>130</v>
      </c>
      <c r="K14" s="13" t="s">
        <v>150</v>
      </c>
      <c r="L14" s="13"/>
      <c r="M14" s="48" t="s">
        <v>144</v>
      </c>
      <c r="N14" s="57"/>
      <c r="O14" s="13"/>
      <c r="P14" s="13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</row>
    <row r="15" spans="1:48" s="27" customFormat="1" x14ac:dyDescent="0.3">
      <c r="A15" s="12">
        <v>18</v>
      </c>
      <c r="B15" s="12">
        <v>5</v>
      </c>
      <c r="C15" s="12" t="s">
        <v>92</v>
      </c>
      <c r="D15" s="12" t="s">
        <v>243</v>
      </c>
      <c r="E15" s="13" t="s">
        <v>111</v>
      </c>
      <c r="F15" s="13" t="s">
        <v>94</v>
      </c>
      <c r="G15" s="25" t="s">
        <v>49</v>
      </c>
      <c r="H15" s="13" t="s">
        <v>51</v>
      </c>
      <c r="I15" s="43">
        <v>0.96</v>
      </c>
      <c r="J15" s="13" t="s">
        <v>104</v>
      </c>
      <c r="K15" s="13" t="s">
        <v>151</v>
      </c>
      <c r="L15" s="13"/>
      <c r="M15" s="13"/>
      <c r="N15" s="57"/>
      <c r="O15" s="13"/>
      <c r="P15" s="13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</row>
    <row r="16" spans="1:48" s="27" customFormat="1" x14ac:dyDescent="0.3">
      <c r="A16" s="12">
        <v>21</v>
      </c>
      <c r="B16" s="12">
        <v>8</v>
      </c>
      <c r="C16" s="12" t="s">
        <v>92</v>
      </c>
      <c r="D16" s="12" t="s">
        <v>243</v>
      </c>
      <c r="E16" s="13" t="s">
        <v>118</v>
      </c>
      <c r="F16" s="13" t="s">
        <v>94</v>
      </c>
      <c r="G16" s="25" t="s">
        <v>49</v>
      </c>
      <c r="H16" s="36" t="s">
        <v>66</v>
      </c>
      <c r="I16" s="43">
        <v>0.68</v>
      </c>
      <c r="J16" s="13" t="s">
        <v>101</v>
      </c>
      <c r="K16" s="49" t="s">
        <v>155</v>
      </c>
      <c r="L16" s="49"/>
      <c r="M16" s="13"/>
      <c r="N16" s="57"/>
      <c r="O16" s="13"/>
      <c r="P16" s="13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</row>
    <row r="17" spans="1:48" s="27" customFormat="1" x14ac:dyDescent="0.3">
      <c r="A17" s="12">
        <v>14</v>
      </c>
      <c r="B17" s="12">
        <v>1</v>
      </c>
      <c r="C17" s="12" t="s">
        <v>92</v>
      </c>
      <c r="D17" s="12" t="s">
        <v>243</v>
      </c>
      <c r="E17" s="41" t="s">
        <v>103</v>
      </c>
      <c r="F17" s="23" t="s">
        <v>94</v>
      </c>
      <c r="G17" s="61" t="s">
        <v>61</v>
      </c>
      <c r="H17" s="13" t="s">
        <v>62</v>
      </c>
      <c r="I17" s="43">
        <v>0.96</v>
      </c>
      <c r="J17" s="13" t="s">
        <v>104</v>
      </c>
      <c r="K17" s="22" t="s">
        <v>152</v>
      </c>
      <c r="L17" s="22"/>
      <c r="M17" s="13"/>
      <c r="N17" s="57"/>
      <c r="O17" s="13"/>
      <c r="P17" s="13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</row>
    <row r="18" spans="1:48" s="27" customFormat="1" x14ac:dyDescent="0.3">
      <c r="A18" s="12">
        <v>16</v>
      </c>
      <c r="B18" s="12">
        <v>3</v>
      </c>
      <c r="C18" s="12" t="s">
        <v>92</v>
      </c>
      <c r="D18" s="12" t="s">
        <v>243</v>
      </c>
      <c r="E18" s="40" t="s">
        <v>37</v>
      </c>
      <c r="F18" s="21" t="s">
        <v>63</v>
      </c>
      <c r="G18" s="61"/>
      <c r="H18" s="13" t="s">
        <v>62</v>
      </c>
      <c r="I18" s="44">
        <v>0.7</v>
      </c>
      <c r="J18" s="13" t="s">
        <v>101</v>
      </c>
      <c r="K18" s="13" t="s">
        <v>147</v>
      </c>
      <c r="L18" s="13"/>
      <c r="M18" s="13"/>
      <c r="N18" s="57"/>
      <c r="O18" s="13"/>
      <c r="P18" s="50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</row>
    <row r="19" spans="1:48" s="27" customFormat="1" x14ac:dyDescent="0.3">
      <c r="A19" s="12">
        <v>22</v>
      </c>
      <c r="B19" s="12">
        <v>9</v>
      </c>
      <c r="C19" s="12" t="s">
        <v>92</v>
      </c>
      <c r="D19" s="12" t="s">
        <v>243</v>
      </c>
      <c r="E19" s="13" t="s">
        <v>102</v>
      </c>
      <c r="F19" s="13" t="s">
        <v>94</v>
      </c>
      <c r="G19" s="61" t="s">
        <v>61</v>
      </c>
      <c r="H19" s="37" t="s">
        <v>62</v>
      </c>
      <c r="I19" s="44">
        <v>0.8</v>
      </c>
      <c r="J19" s="13" t="s">
        <v>101</v>
      </c>
      <c r="K19" s="37" t="s">
        <v>151</v>
      </c>
      <c r="L19" s="37"/>
      <c r="M19" s="36"/>
      <c r="N19" s="57"/>
      <c r="O19" s="13"/>
      <c r="P19" s="13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</row>
    <row r="20" spans="1:48" s="27" customFormat="1" x14ac:dyDescent="0.3">
      <c r="A20" s="12">
        <v>24</v>
      </c>
      <c r="B20" s="12">
        <v>11</v>
      </c>
      <c r="C20" s="12" t="s">
        <v>92</v>
      </c>
      <c r="D20" s="12" t="s">
        <v>243</v>
      </c>
      <c r="E20" s="13" t="s">
        <v>135</v>
      </c>
      <c r="F20" s="13" t="s">
        <v>94</v>
      </c>
      <c r="G20" s="61" t="s">
        <v>61</v>
      </c>
      <c r="H20" s="13" t="s">
        <v>62</v>
      </c>
      <c r="I20" s="44">
        <v>0.88</v>
      </c>
      <c r="J20" s="13" t="s">
        <v>101</v>
      </c>
      <c r="K20" s="37" t="s">
        <v>147</v>
      </c>
      <c r="L20" s="37"/>
      <c r="M20" s="37"/>
      <c r="N20" s="57"/>
      <c r="O20" s="13"/>
      <c r="P20" s="13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</row>
    <row r="21" spans="1:48" s="27" customFormat="1" x14ac:dyDescent="0.3">
      <c r="A21" s="11">
        <v>27</v>
      </c>
      <c r="B21" s="11">
        <v>14</v>
      </c>
      <c r="C21" s="12" t="s">
        <v>92</v>
      </c>
      <c r="D21" s="12" t="s">
        <v>243</v>
      </c>
      <c r="E21" s="13" t="s">
        <v>138</v>
      </c>
      <c r="F21" s="13" t="s">
        <v>94</v>
      </c>
      <c r="G21" s="61" t="s">
        <v>61</v>
      </c>
      <c r="H21" s="34" t="s">
        <v>72</v>
      </c>
      <c r="I21" s="43">
        <v>0.36</v>
      </c>
      <c r="J21" s="13" t="s">
        <v>101</v>
      </c>
      <c r="K21" s="13" t="s">
        <v>147</v>
      </c>
      <c r="L21" s="13"/>
      <c r="M21" s="13"/>
      <c r="N21" s="57"/>
      <c r="O21" s="13"/>
      <c r="P21" s="13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</row>
    <row r="22" spans="1:48" s="27" customFormat="1" x14ac:dyDescent="0.3">
      <c r="A22" s="12">
        <v>15</v>
      </c>
      <c r="B22" s="12">
        <v>2</v>
      </c>
      <c r="C22" s="12" t="s">
        <v>92</v>
      </c>
      <c r="D22" s="12" t="s">
        <v>243</v>
      </c>
      <c r="E22" s="40" t="s">
        <v>153</v>
      </c>
      <c r="F22" s="31" t="s">
        <v>55</v>
      </c>
      <c r="G22" s="13"/>
      <c r="H22" s="13"/>
      <c r="I22" s="43">
        <v>0.5</v>
      </c>
      <c r="J22" s="13" t="s">
        <v>130</v>
      </c>
      <c r="K22" s="13" t="s">
        <v>147</v>
      </c>
      <c r="L22" s="13"/>
      <c r="M22" s="13"/>
      <c r="N22" s="57"/>
      <c r="O22" s="13"/>
      <c r="P22" s="13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</row>
    <row r="23" spans="1:48" s="27" customFormat="1" x14ac:dyDescent="0.3">
      <c r="A23" s="24">
        <v>37</v>
      </c>
      <c r="B23" s="24">
        <v>9</v>
      </c>
      <c r="C23" s="24" t="s">
        <v>105</v>
      </c>
      <c r="D23" s="24" t="s">
        <v>243</v>
      </c>
      <c r="E23" s="13" t="s">
        <v>113</v>
      </c>
      <c r="F23" s="13" t="s">
        <v>94</v>
      </c>
      <c r="G23" s="63" t="s">
        <v>57</v>
      </c>
      <c r="H23" s="13" t="s">
        <v>75</v>
      </c>
      <c r="I23" s="43">
        <v>0.85</v>
      </c>
      <c r="J23" s="13" t="s">
        <v>101</v>
      </c>
      <c r="K23" s="13" t="s">
        <v>150</v>
      </c>
      <c r="L23" s="13"/>
      <c r="M23" s="13"/>
      <c r="N23" s="13"/>
      <c r="O23" s="36"/>
      <c r="P23" s="13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</row>
    <row r="24" spans="1:48" s="27" customFormat="1" x14ac:dyDescent="0.3">
      <c r="A24" s="24">
        <v>36</v>
      </c>
      <c r="B24" s="24">
        <v>8</v>
      </c>
      <c r="C24" s="24" t="s">
        <v>105</v>
      </c>
      <c r="D24" s="24" t="s">
        <v>243</v>
      </c>
      <c r="E24" s="13" t="s">
        <v>124</v>
      </c>
      <c r="F24" s="13" t="s">
        <v>94</v>
      </c>
      <c r="G24" s="63" t="s">
        <v>57</v>
      </c>
      <c r="H24" s="13" t="s">
        <v>78</v>
      </c>
      <c r="I24" s="43">
        <v>0.2</v>
      </c>
      <c r="J24" s="13" t="s">
        <v>143</v>
      </c>
      <c r="K24" s="13" t="s">
        <v>147</v>
      </c>
      <c r="L24" s="13"/>
      <c r="M24" s="13"/>
      <c r="N24" s="57"/>
      <c r="O24" s="37"/>
      <c r="P24" s="13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</row>
    <row r="25" spans="1:48" s="27" customFormat="1" x14ac:dyDescent="0.3">
      <c r="A25" s="24">
        <v>29</v>
      </c>
      <c r="B25" s="24">
        <v>1</v>
      </c>
      <c r="C25" s="24" t="s">
        <v>105</v>
      </c>
      <c r="D25" s="24" t="s">
        <v>243</v>
      </c>
      <c r="E25" s="41" t="s">
        <v>103</v>
      </c>
      <c r="F25" s="23" t="s">
        <v>94</v>
      </c>
      <c r="G25" s="61" t="s">
        <v>61</v>
      </c>
      <c r="H25" s="13" t="s">
        <v>62</v>
      </c>
      <c r="I25" s="43">
        <v>0.96</v>
      </c>
      <c r="J25" s="13" t="s">
        <v>104</v>
      </c>
      <c r="K25" s="13" t="s">
        <v>147</v>
      </c>
      <c r="L25" s="13"/>
      <c r="M25" s="13"/>
      <c r="N25" s="57"/>
      <c r="O25" s="37"/>
      <c r="P25" s="13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</row>
    <row r="26" spans="1:48" s="29" customFormat="1" x14ac:dyDescent="0.3">
      <c r="A26" s="24">
        <v>34</v>
      </c>
      <c r="B26" s="24">
        <v>6</v>
      </c>
      <c r="C26" s="24" t="s">
        <v>105</v>
      </c>
      <c r="D26" s="24" t="s">
        <v>243</v>
      </c>
      <c r="E26" s="13" t="s">
        <v>106</v>
      </c>
      <c r="F26" s="13" t="s">
        <v>94</v>
      </c>
      <c r="G26" s="126" t="s">
        <v>61</v>
      </c>
      <c r="H26" s="13" t="s">
        <v>62</v>
      </c>
      <c r="I26" s="43">
        <v>0.48</v>
      </c>
      <c r="J26" s="13" t="s">
        <v>101</v>
      </c>
      <c r="K26" s="48" t="s">
        <v>156</v>
      </c>
      <c r="L26" s="48"/>
      <c r="M26" s="13"/>
      <c r="N26" s="57"/>
      <c r="O26" s="37"/>
      <c r="P26" s="13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</row>
    <row r="27" spans="1:48" s="29" customFormat="1" x14ac:dyDescent="0.3">
      <c r="A27" s="24">
        <v>39</v>
      </c>
      <c r="B27" s="24">
        <v>11</v>
      </c>
      <c r="C27" s="24" t="s">
        <v>105</v>
      </c>
      <c r="D27" s="24" t="s">
        <v>243</v>
      </c>
      <c r="E27" s="13" t="s">
        <v>125</v>
      </c>
      <c r="F27" s="13" t="s">
        <v>94</v>
      </c>
      <c r="G27" s="61" t="s">
        <v>61</v>
      </c>
      <c r="H27" s="13" t="s">
        <v>76</v>
      </c>
      <c r="I27" s="43">
        <v>0.51</v>
      </c>
      <c r="J27" s="13" t="s">
        <v>143</v>
      </c>
      <c r="K27" s="13" t="s">
        <v>150</v>
      </c>
      <c r="L27" s="13"/>
      <c r="M27" s="13"/>
      <c r="N27" s="57"/>
      <c r="O27" s="13"/>
      <c r="P27" s="13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</row>
    <row r="28" spans="1:48" s="29" customFormat="1" x14ac:dyDescent="0.3">
      <c r="A28" s="24">
        <v>30</v>
      </c>
      <c r="B28" s="24">
        <v>2</v>
      </c>
      <c r="C28" s="24" t="s">
        <v>105</v>
      </c>
      <c r="D28" s="24" t="s">
        <v>243</v>
      </c>
      <c r="E28" s="40" t="s">
        <v>137</v>
      </c>
      <c r="F28" s="32" t="s">
        <v>73</v>
      </c>
      <c r="G28" s="13"/>
      <c r="H28" s="13"/>
      <c r="I28" s="43">
        <v>0.8</v>
      </c>
      <c r="J28" s="13" t="s">
        <v>104</v>
      </c>
      <c r="K28" s="13" t="s">
        <v>147</v>
      </c>
      <c r="L28" s="13"/>
      <c r="M28" s="13"/>
      <c r="N28" s="57"/>
      <c r="O28" s="13"/>
      <c r="P28" s="13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</row>
    <row r="29" spans="1:48" s="29" customFormat="1" x14ac:dyDescent="0.3">
      <c r="A29" s="24">
        <v>31</v>
      </c>
      <c r="B29" s="24">
        <v>3</v>
      </c>
      <c r="C29" s="24" t="s">
        <v>105</v>
      </c>
      <c r="D29" s="24" t="s">
        <v>243</v>
      </c>
      <c r="E29" s="40" t="s">
        <v>131</v>
      </c>
      <c r="F29" s="32" t="s">
        <v>73</v>
      </c>
      <c r="G29" s="13"/>
      <c r="H29" s="13"/>
      <c r="I29" s="43">
        <v>0.33</v>
      </c>
      <c r="J29" s="13" t="s">
        <v>104</v>
      </c>
      <c r="K29" s="48" t="s">
        <v>149</v>
      </c>
      <c r="L29" s="48"/>
      <c r="M29" s="13"/>
      <c r="N29" s="57"/>
      <c r="O29" s="13"/>
      <c r="P29" s="50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</row>
    <row r="30" spans="1:48" s="30" customFormat="1" x14ac:dyDescent="0.3">
      <c r="A30" s="24">
        <v>32</v>
      </c>
      <c r="B30" s="24">
        <v>4</v>
      </c>
      <c r="C30" s="24" t="s">
        <v>105</v>
      </c>
      <c r="D30" s="24" t="s">
        <v>243</v>
      </c>
      <c r="E30" s="40" t="s">
        <v>114</v>
      </c>
      <c r="F30" s="28" t="s">
        <v>115</v>
      </c>
      <c r="G30" s="13"/>
      <c r="H30" s="13"/>
      <c r="I30" s="43">
        <v>1</v>
      </c>
      <c r="J30" s="13" t="s">
        <v>104</v>
      </c>
      <c r="K30" s="13" t="s">
        <v>147</v>
      </c>
      <c r="L30" s="13"/>
      <c r="M30" s="13"/>
      <c r="N30" s="57"/>
      <c r="O30" s="13"/>
      <c r="P30" s="13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</row>
    <row r="31" spans="1:48" s="30" customFormat="1" x14ac:dyDescent="0.3">
      <c r="A31" s="25">
        <v>40</v>
      </c>
      <c r="B31" s="25">
        <v>11</v>
      </c>
      <c r="C31" s="24" t="s">
        <v>142</v>
      </c>
      <c r="D31" s="24" t="s">
        <v>243</v>
      </c>
      <c r="E31" s="13" t="s">
        <v>136</v>
      </c>
      <c r="F31" s="13" t="s">
        <v>94</v>
      </c>
      <c r="G31" s="61" t="s">
        <v>61</v>
      </c>
      <c r="H31" s="13" t="s">
        <v>62</v>
      </c>
      <c r="I31" s="43">
        <v>0.32</v>
      </c>
      <c r="J31" s="13" t="s">
        <v>101</v>
      </c>
      <c r="K31" s="13" t="s">
        <v>147</v>
      </c>
      <c r="L31" s="13"/>
      <c r="M31" s="13"/>
      <c r="N31" s="13"/>
      <c r="O31" s="13"/>
      <c r="P31" s="13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</row>
    <row r="32" spans="1:48" s="30" customFormat="1" x14ac:dyDescent="0.3">
      <c r="A32" s="25">
        <v>41</v>
      </c>
      <c r="B32" s="25">
        <v>12</v>
      </c>
      <c r="C32" s="24" t="s">
        <v>142</v>
      </c>
      <c r="D32" s="24" t="s">
        <v>243</v>
      </c>
      <c r="E32" s="13" t="s">
        <v>119</v>
      </c>
      <c r="F32" s="13" t="s">
        <v>94</v>
      </c>
      <c r="G32" s="61" t="s">
        <v>61</v>
      </c>
      <c r="H32" s="13" t="s">
        <v>62</v>
      </c>
      <c r="I32" s="43">
        <v>0.32</v>
      </c>
      <c r="J32" s="13" t="s">
        <v>101</v>
      </c>
      <c r="K32" s="13" t="s">
        <v>148</v>
      </c>
      <c r="L32" s="13"/>
      <c r="M32" s="13"/>
      <c r="N32" s="13"/>
      <c r="O32" s="13"/>
      <c r="P32" s="13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</row>
    <row r="33" spans="1:48" s="30" customFormat="1" x14ac:dyDescent="0.3">
      <c r="A33" s="25">
        <v>42</v>
      </c>
      <c r="B33" s="25">
        <v>13</v>
      </c>
      <c r="C33" s="24" t="s">
        <v>142</v>
      </c>
      <c r="D33" s="24" t="s">
        <v>243</v>
      </c>
      <c r="E33" s="13" t="s">
        <v>108</v>
      </c>
      <c r="F33" s="13" t="s">
        <v>94</v>
      </c>
      <c r="G33" s="61" t="s">
        <v>61</v>
      </c>
      <c r="H33" s="13" t="s">
        <v>62</v>
      </c>
      <c r="I33" s="43">
        <v>0.66</v>
      </c>
      <c r="J33" s="13" t="s">
        <v>101</v>
      </c>
      <c r="K33" s="13" t="s">
        <v>151</v>
      </c>
      <c r="L33" s="13"/>
      <c r="M33" s="13"/>
      <c r="N33" s="57"/>
      <c r="O33" s="13"/>
      <c r="P33" s="13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</row>
    <row r="34" spans="1:48" s="30" customFormat="1" x14ac:dyDescent="0.3">
      <c r="A34" s="25">
        <v>43</v>
      </c>
      <c r="B34" s="25">
        <v>14</v>
      </c>
      <c r="C34" s="24" t="s">
        <v>142</v>
      </c>
      <c r="D34" s="24" t="s">
        <v>243</v>
      </c>
      <c r="E34" s="13" t="s">
        <v>123</v>
      </c>
      <c r="F34" s="13" t="s">
        <v>94</v>
      </c>
      <c r="G34" s="61" t="s">
        <v>61</v>
      </c>
      <c r="H34" s="13" t="s">
        <v>62</v>
      </c>
      <c r="I34" s="43">
        <v>0.78</v>
      </c>
      <c r="J34" s="13" t="s">
        <v>101</v>
      </c>
      <c r="K34" s="13" t="s">
        <v>149</v>
      </c>
      <c r="L34" s="13"/>
      <c r="M34" s="13"/>
      <c r="N34" s="13"/>
      <c r="O34" s="13"/>
      <c r="P34" s="13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</row>
    <row r="35" spans="1:48" s="30" customFormat="1" x14ac:dyDescent="0.3">
      <c r="A35" s="16">
        <v>5</v>
      </c>
      <c r="B35" s="16">
        <v>5</v>
      </c>
      <c r="C35" s="18" t="s">
        <v>95</v>
      </c>
      <c r="D35" s="18" t="s">
        <v>244</v>
      </c>
      <c r="E35" s="13" t="s">
        <v>112</v>
      </c>
      <c r="F35" s="13" t="s">
        <v>94</v>
      </c>
      <c r="G35" s="25" t="s">
        <v>49</v>
      </c>
      <c r="H35" s="13" t="s">
        <v>51</v>
      </c>
      <c r="I35" s="43">
        <v>0.68</v>
      </c>
      <c r="J35" s="13" t="s">
        <v>101</v>
      </c>
      <c r="K35" s="13" t="s">
        <v>147</v>
      </c>
      <c r="L35" s="13"/>
      <c r="M35" s="48"/>
      <c r="N35" s="13"/>
      <c r="O35" s="13"/>
      <c r="P35" s="13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</row>
    <row r="36" spans="1:48" s="30" customFormat="1" x14ac:dyDescent="0.3">
      <c r="A36" s="16">
        <v>10</v>
      </c>
      <c r="B36" s="16">
        <v>10</v>
      </c>
      <c r="C36" s="16" t="s">
        <v>95</v>
      </c>
      <c r="D36" s="16" t="s">
        <v>244</v>
      </c>
      <c r="E36" s="40" t="s">
        <v>110</v>
      </c>
      <c r="F36" s="13" t="s">
        <v>94</v>
      </c>
      <c r="G36" s="25" t="s">
        <v>49</v>
      </c>
      <c r="H36" s="13" t="s">
        <v>51</v>
      </c>
      <c r="I36" s="43">
        <v>0.83</v>
      </c>
      <c r="J36" s="13" t="s">
        <v>101</v>
      </c>
      <c r="K36" s="13" t="s">
        <v>151</v>
      </c>
      <c r="L36" s="13"/>
      <c r="M36" s="48"/>
      <c r="N36" s="57"/>
      <c r="O36" s="13"/>
      <c r="P36" s="13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</row>
    <row r="37" spans="1:48" s="30" customFormat="1" x14ac:dyDescent="0.3">
      <c r="A37" s="11">
        <v>26</v>
      </c>
      <c r="B37" s="11">
        <v>13</v>
      </c>
      <c r="C37" s="12" t="s">
        <v>92</v>
      </c>
      <c r="D37" s="12" t="s">
        <v>244</v>
      </c>
      <c r="E37" s="13" t="s">
        <v>121</v>
      </c>
      <c r="F37" s="13" t="s">
        <v>94</v>
      </c>
      <c r="G37" s="25" t="s">
        <v>49</v>
      </c>
      <c r="H37" s="13" t="s">
        <v>50</v>
      </c>
      <c r="I37" s="43">
        <v>0.5</v>
      </c>
      <c r="J37" s="13" t="s">
        <v>101</v>
      </c>
      <c r="K37" s="13" t="s">
        <v>150</v>
      </c>
      <c r="L37" s="13"/>
      <c r="M37" s="13"/>
      <c r="N37" s="13"/>
      <c r="O37" s="13"/>
      <c r="P37" s="50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</row>
    <row r="38" spans="1:48" s="30" customFormat="1" x14ac:dyDescent="0.3">
      <c r="A38" s="12">
        <v>20</v>
      </c>
      <c r="B38" s="12">
        <v>7</v>
      </c>
      <c r="C38" s="12" t="s">
        <v>92</v>
      </c>
      <c r="D38" s="12" t="s">
        <v>244</v>
      </c>
      <c r="E38" s="13" t="s">
        <v>126</v>
      </c>
      <c r="F38" s="13" t="s">
        <v>94</v>
      </c>
      <c r="G38" s="25" t="s">
        <v>49</v>
      </c>
      <c r="H38" s="13" t="s">
        <v>60</v>
      </c>
      <c r="I38" s="43">
        <v>0.95</v>
      </c>
      <c r="J38" s="13" t="s">
        <v>101</v>
      </c>
      <c r="K38" s="49" t="s">
        <v>148</v>
      </c>
      <c r="L38" s="49"/>
      <c r="M38" s="13"/>
      <c r="N38" s="13"/>
      <c r="O38" s="13"/>
      <c r="P38" s="13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</row>
    <row r="39" spans="1:48" s="30" customFormat="1" x14ac:dyDescent="0.3">
      <c r="A39" s="12">
        <v>23</v>
      </c>
      <c r="B39" s="12">
        <v>10</v>
      </c>
      <c r="C39" s="12" t="s">
        <v>92</v>
      </c>
      <c r="D39" s="12" t="s">
        <v>244</v>
      </c>
      <c r="E39" s="13" t="s">
        <v>134</v>
      </c>
      <c r="F39" s="13" t="s">
        <v>94</v>
      </c>
      <c r="G39" s="61" t="s">
        <v>61</v>
      </c>
      <c r="H39" s="37" t="s">
        <v>67</v>
      </c>
      <c r="I39" s="44">
        <v>0.76</v>
      </c>
      <c r="J39" s="13" t="s">
        <v>101</v>
      </c>
      <c r="K39" s="37" t="s">
        <v>147</v>
      </c>
      <c r="L39" s="51"/>
      <c r="M39" s="46" t="s">
        <v>144</v>
      </c>
      <c r="N39" s="57"/>
      <c r="O39" s="13"/>
      <c r="P39" s="13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</row>
    <row r="40" spans="1:48" s="30" customFormat="1" x14ac:dyDescent="0.3">
      <c r="A40" s="11">
        <v>25</v>
      </c>
      <c r="B40" s="11">
        <v>12</v>
      </c>
      <c r="C40" s="12" t="s">
        <v>141</v>
      </c>
      <c r="D40" s="12" t="s">
        <v>244</v>
      </c>
      <c r="E40" s="13" t="s">
        <v>117</v>
      </c>
      <c r="F40" s="13" t="s">
        <v>94</v>
      </c>
      <c r="G40" s="25" t="s">
        <v>49</v>
      </c>
      <c r="H40" s="36" t="s">
        <v>66</v>
      </c>
      <c r="I40" s="45">
        <v>0.26</v>
      </c>
      <c r="J40" s="13" t="s">
        <v>101</v>
      </c>
      <c r="K40" s="37" t="s">
        <v>147</v>
      </c>
      <c r="L40" s="37"/>
      <c r="M40" s="37"/>
      <c r="N40" s="57"/>
      <c r="O40" s="13"/>
      <c r="P40" s="13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</row>
    <row r="41" spans="1:48" s="33" customFormat="1" x14ac:dyDescent="0.3">
      <c r="A41" s="11">
        <v>28</v>
      </c>
      <c r="B41" s="11">
        <v>15</v>
      </c>
      <c r="C41" s="12" t="s">
        <v>107</v>
      </c>
      <c r="D41" s="12" t="s">
        <v>244</v>
      </c>
      <c r="E41" s="13" t="s">
        <v>133</v>
      </c>
      <c r="F41" s="13" t="s">
        <v>94</v>
      </c>
      <c r="G41" s="25" t="s">
        <v>49</v>
      </c>
      <c r="H41" s="34" t="s">
        <v>52</v>
      </c>
      <c r="I41" s="43">
        <v>0.25</v>
      </c>
      <c r="J41" s="13" t="s">
        <v>101</v>
      </c>
      <c r="K41" s="13" t="s">
        <v>148</v>
      </c>
      <c r="L41" s="13"/>
      <c r="M41" s="13"/>
      <c r="N41" s="13"/>
      <c r="O41" s="13" t="s">
        <v>146</v>
      </c>
      <c r="P41" s="13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</row>
    <row r="42" spans="1:48" s="33" customFormat="1" x14ac:dyDescent="0.3">
      <c r="A42" s="24">
        <v>38</v>
      </c>
      <c r="B42" s="24">
        <v>10</v>
      </c>
      <c r="C42" s="24" t="s">
        <v>105</v>
      </c>
      <c r="D42" s="24" t="s">
        <v>244</v>
      </c>
      <c r="E42" s="13" t="s">
        <v>139</v>
      </c>
      <c r="F42" s="13" t="s">
        <v>94</v>
      </c>
      <c r="G42" s="61" t="s">
        <v>61</v>
      </c>
      <c r="H42" s="34" t="s">
        <v>72</v>
      </c>
      <c r="I42" s="43">
        <v>0.45</v>
      </c>
      <c r="J42" s="13" t="s">
        <v>101</v>
      </c>
      <c r="K42" s="13" t="s">
        <v>147</v>
      </c>
      <c r="L42" s="13"/>
      <c r="M42" s="13"/>
      <c r="N42" s="13"/>
      <c r="O42" s="13"/>
      <c r="P42" s="13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</row>
    <row r="43" spans="1:48" s="33" customFormat="1" x14ac:dyDescent="0.3">
      <c r="A43" s="24">
        <v>35</v>
      </c>
      <c r="B43" s="24">
        <v>7</v>
      </c>
      <c r="C43" s="24" t="s">
        <v>105</v>
      </c>
      <c r="D43" s="24" t="s">
        <v>244</v>
      </c>
      <c r="E43" s="13" t="s">
        <v>109</v>
      </c>
      <c r="F43" s="13" t="s">
        <v>94</v>
      </c>
      <c r="G43" s="62" t="s">
        <v>53</v>
      </c>
      <c r="H43" s="38" t="s">
        <v>79</v>
      </c>
      <c r="I43" s="46" t="s">
        <v>130</v>
      </c>
      <c r="J43" s="13" t="s">
        <v>101</v>
      </c>
      <c r="K43" s="48" t="s">
        <v>148</v>
      </c>
      <c r="L43" s="48"/>
      <c r="M43" s="13"/>
      <c r="N43" s="13"/>
      <c r="O43" s="13"/>
      <c r="P43" s="13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</row>
    <row r="44" spans="1:48" s="33" customFormat="1" x14ac:dyDescent="0.3">
      <c r="A44" s="24">
        <v>33</v>
      </c>
      <c r="B44" s="24">
        <v>5</v>
      </c>
      <c r="C44" s="24" t="s">
        <v>105</v>
      </c>
      <c r="D44" s="24" t="s">
        <v>244</v>
      </c>
      <c r="E44" s="40" t="s">
        <v>116</v>
      </c>
      <c r="F44" s="28" t="s">
        <v>115</v>
      </c>
      <c r="G44" s="13"/>
      <c r="H44" s="13"/>
      <c r="I44" s="43">
        <v>0.3</v>
      </c>
      <c r="J44" s="13" t="s">
        <v>104</v>
      </c>
      <c r="K44" s="13" t="s">
        <v>147</v>
      </c>
      <c r="L44" s="13"/>
      <c r="M44" s="13"/>
      <c r="N44" s="57"/>
      <c r="O44" s="13"/>
      <c r="P44" s="13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</row>
  </sheetData>
  <autoFilter ref="A1:N1" xr:uid="{AD6832C7-E1A8-4D3D-9507-C4AECF0B497D}">
    <sortState xmlns:xlrd2="http://schemas.microsoft.com/office/spreadsheetml/2017/richdata2" ref="A2:N44">
      <sortCondition descending="1" ref="D1"/>
    </sortState>
  </autoFilter>
  <phoneticPr fontId="11" type="noConversion"/>
  <conditionalFormatting sqref="H2:H4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44">
    <cfRule type="cellIs" dxfId="0" priority="1" operator="lessThan">
      <formula>0.65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6FED8-FFB7-49AA-AF6F-FE85DDFBBF52}">
  <dimension ref="A1:J43"/>
  <sheetViews>
    <sheetView workbookViewId="0">
      <selection activeCell="F2" sqref="F2:H41"/>
    </sheetView>
  </sheetViews>
  <sheetFormatPr defaultRowHeight="14.4" x14ac:dyDescent="0.3"/>
  <cols>
    <col min="1" max="1" width="4" customWidth="1"/>
    <col min="3" max="3" width="29.6640625" customWidth="1"/>
    <col min="8" max="8" width="30.33203125" customWidth="1"/>
  </cols>
  <sheetData>
    <row r="1" spans="1:10" x14ac:dyDescent="0.3">
      <c r="B1" s="127" t="s">
        <v>190</v>
      </c>
      <c r="C1" s="127"/>
      <c r="D1" s="127"/>
      <c r="E1" s="100"/>
      <c r="F1" s="100"/>
      <c r="G1" s="127" t="s">
        <v>191</v>
      </c>
      <c r="H1" s="127"/>
      <c r="I1" s="127"/>
      <c r="J1" s="100" t="s">
        <v>192</v>
      </c>
    </row>
    <row r="2" spans="1:10" x14ac:dyDescent="0.3">
      <c r="B2" s="64" t="s">
        <v>158</v>
      </c>
      <c r="C2" s="64" t="s">
        <v>82</v>
      </c>
      <c r="D2" s="65" t="s">
        <v>159</v>
      </c>
      <c r="G2" s="64" t="s">
        <v>158</v>
      </c>
      <c r="H2" s="64" t="s">
        <v>82</v>
      </c>
      <c r="I2" s="65" t="s">
        <v>159</v>
      </c>
    </row>
    <row r="3" spans="1:10" ht="16.8" customHeight="1" x14ac:dyDescent="0.3">
      <c r="A3">
        <v>1</v>
      </c>
      <c r="B3" s="66">
        <v>1</v>
      </c>
      <c r="C3" s="108" t="s">
        <v>193</v>
      </c>
      <c r="D3" s="68">
        <v>2</v>
      </c>
      <c r="F3">
        <v>1</v>
      </c>
      <c r="G3" s="66">
        <v>1</v>
      </c>
      <c r="H3" s="108" t="s">
        <v>193</v>
      </c>
      <c r="I3" s="68">
        <v>2</v>
      </c>
    </row>
    <row r="4" spans="1:10" ht="16.8" customHeight="1" x14ac:dyDescent="0.3">
      <c r="A4">
        <v>2</v>
      </c>
      <c r="B4" s="66">
        <v>2</v>
      </c>
      <c r="C4" s="108" t="s">
        <v>132</v>
      </c>
      <c r="D4" s="75" t="s">
        <v>158</v>
      </c>
      <c r="F4">
        <v>2</v>
      </c>
      <c r="G4" s="66">
        <v>2</v>
      </c>
      <c r="H4" s="108" t="s">
        <v>132</v>
      </c>
      <c r="I4" s="75" t="s">
        <v>158</v>
      </c>
      <c r="J4" s="100" t="s">
        <v>198</v>
      </c>
    </row>
    <row r="5" spans="1:10" ht="16.8" customHeight="1" x14ac:dyDescent="0.3">
      <c r="A5">
        <v>3</v>
      </c>
      <c r="B5" s="66">
        <v>3</v>
      </c>
      <c r="C5" s="108" t="s">
        <v>140</v>
      </c>
      <c r="D5" s="79" t="s">
        <v>172</v>
      </c>
      <c r="F5">
        <v>3</v>
      </c>
      <c r="G5" s="66">
        <v>3</v>
      </c>
      <c r="H5" s="108" t="s">
        <v>140</v>
      </c>
      <c r="I5" s="79" t="s">
        <v>172</v>
      </c>
      <c r="J5" s="100" t="s">
        <v>199</v>
      </c>
    </row>
    <row r="6" spans="1:10" ht="16.8" customHeight="1" x14ac:dyDescent="0.3">
      <c r="A6">
        <v>4</v>
      </c>
      <c r="B6" s="66">
        <v>4</v>
      </c>
      <c r="C6" s="108" t="s">
        <v>96</v>
      </c>
      <c r="D6" s="80">
        <v>1</v>
      </c>
      <c r="F6">
        <v>4</v>
      </c>
      <c r="G6" s="66">
        <v>4</v>
      </c>
      <c r="H6" s="108" t="s">
        <v>96</v>
      </c>
      <c r="I6" s="80">
        <v>1</v>
      </c>
    </row>
    <row r="7" spans="1:10" ht="16.8" customHeight="1" x14ac:dyDescent="0.3">
      <c r="A7">
        <v>5</v>
      </c>
      <c r="B7" s="66">
        <v>5</v>
      </c>
      <c r="C7" s="108" t="s">
        <v>120</v>
      </c>
      <c r="D7" s="80">
        <v>1</v>
      </c>
      <c r="F7">
        <v>5</v>
      </c>
      <c r="G7" s="66">
        <v>5</v>
      </c>
      <c r="H7" s="108" t="s">
        <v>120</v>
      </c>
      <c r="I7" s="80">
        <v>1</v>
      </c>
    </row>
    <row r="8" spans="1:10" ht="16.8" customHeight="1" x14ac:dyDescent="0.3">
      <c r="A8">
        <v>6</v>
      </c>
      <c r="B8" s="66">
        <v>6</v>
      </c>
      <c r="C8" s="108" t="s">
        <v>98</v>
      </c>
      <c r="D8" s="80">
        <v>1</v>
      </c>
      <c r="F8">
        <v>6</v>
      </c>
      <c r="G8" s="66">
        <v>6</v>
      </c>
      <c r="H8" s="108" t="s">
        <v>98</v>
      </c>
      <c r="I8" s="80">
        <v>1</v>
      </c>
    </row>
    <row r="9" spans="1:10" ht="16.8" customHeight="1" x14ac:dyDescent="0.3">
      <c r="A9">
        <v>7</v>
      </c>
      <c r="B9" s="66">
        <v>7</v>
      </c>
      <c r="C9" s="108" t="s">
        <v>129</v>
      </c>
      <c r="D9" s="80">
        <v>1</v>
      </c>
      <c r="F9">
        <v>7</v>
      </c>
      <c r="G9" s="66">
        <v>7</v>
      </c>
      <c r="H9" s="108" t="s">
        <v>129</v>
      </c>
      <c r="I9" s="80">
        <v>1</v>
      </c>
    </row>
    <row r="10" spans="1:10" ht="16.8" customHeight="1" x14ac:dyDescent="0.3">
      <c r="A10">
        <v>8</v>
      </c>
      <c r="B10" s="66">
        <v>8</v>
      </c>
      <c r="C10" s="108" t="s">
        <v>127</v>
      </c>
      <c r="D10" s="80">
        <v>1</v>
      </c>
      <c r="F10">
        <v>8</v>
      </c>
      <c r="G10" s="66">
        <v>8</v>
      </c>
      <c r="H10" s="108" t="s">
        <v>127</v>
      </c>
      <c r="I10" s="80">
        <v>1</v>
      </c>
    </row>
    <row r="11" spans="1:10" ht="16.8" customHeight="1" x14ac:dyDescent="0.3">
      <c r="A11">
        <v>9</v>
      </c>
      <c r="B11" s="66">
        <v>9</v>
      </c>
      <c r="C11" s="108" t="s">
        <v>128</v>
      </c>
      <c r="D11" s="84" t="s">
        <v>175</v>
      </c>
      <c r="F11">
        <v>9</v>
      </c>
      <c r="G11" s="66">
        <v>9</v>
      </c>
      <c r="H11" s="108" t="s">
        <v>128</v>
      </c>
      <c r="I11" s="84" t="s">
        <v>175</v>
      </c>
    </row>
    <row r="12" spans="1:10" ht="16.8" customHeight="1" x14ac:dyDescent="0.3">
      <c r="A12">
        <v>10</v>
      </c>
      <c r="B12" s="66">
        <v>10</v>
      </c>
      <c r="C12" s="108" t="s">
        <v>176</v>
      </c>
      <c r="D12" s="84" t="s">
        <v>175</v>
      </c>
      <c r="F12">
        <v>10</v>
      </c>
      <c r="G12" s="66">
        <v>10</v>
      </c>
      <c r="H12" s="108" t="s">
        <v>176</v>
      </c>
      <c r="I12" s="84" t="s">
        <v>175</v>
      </c>
    </row>
    <row r="13" spans="1:10" ht="16.8" customHeight="1" x14ac:dyDescent="0.3">
      <c r="A13">
        <v>11</v>
      </c>
      <c r="B13" s="66">
        <v>11</v>
      </c>
      <c r="C13" s="108" t="s">
        <v>177</v>
      </c>
      <c r="D13" s="85">
        <v>3</v>
      </c>
      <c r="F13">
        <v>11</v>
      </c>
      <c r="G13" s="66">
        <v>11</v>
      </c>
      <c r="H13" s="108" t="s">
        <v>177</v>
      </c>
      <c r="I13" s="85">
        <v>3</v>
      </c>
    </row>
    <row r="14" spans="1:10" ht="16.8" customHeight="1" x14ac:dyDescent="0.3">
      <c r="A14">
        <v>12</v>
      </c>
      <c r="B14" s="86">
        <v>12</v>
      </c>
      <c r="C14" s="110" t="s">
        <v>178</v>
      </c>
      <c r="D14" s="87">
        <v>1</v>
      </c>
      <c r="F14">
        <v>12</v>
      </c>
      <c r="G14" s="86"/>
      <c r="H14" s="106"/>
      <c r="I14" s="87"/>
    </row>
    <row r="15" spans="1:10" ht="16.8" customHeight="1" x14ac:dyDescent="0.3">
      <c r="A15">
        <v>13</v>
      </c>
      <c r="B15" s="86">
        <v>13</v>
      </c>
      <c r="C15" s="110" t="s">
        <v>112</v>
      </c>
      <c r="D15" s="87">
        <v>1</v>
      </c>
      <c r="F15">
        <v>13</v>
      </c>
      <c r="G15" s="86"/>
      <c r="H15" s="106"/>
      <c r="I15" s="87"/>
    </row>
    <row r="16" spans="1:10" ht="16.8" customHeight="1" x14ac:dyDescent="0.3">
      <c r="A16">
        <v>14</v>
      </c>
      <c r="B16" s="64" t="s">
        <v>179</v>
      </c>
      <c r="C16" s="64" t="s">
        <v>82</v>
      </c>
      <c r="D16" s="65" t="s">
        <v>159</v>
      </c>
      <c r="F16">
        <v>14</v>
      </c>
      <c r="G16" s="64" t="s">
        <v>179</v>
      </c>
      <c r="H16" s="64" t="s">
        <v>82</v>
      </c>
      <c r="I16" s="65" t="s">
        <v>159</v>
      </c>
    </row>
    <row r="17" spans="1:9" ht="16.8" customHeight="1" x14ac:dyDescent="0.3">
      <c r="A17">
        <v>15</v>
      </c>
      <c r="B17" s="88">
        <v>1</v>
      </c>
      <c r="C17" s="111" t="s">
        <v>194</v>
      </c>
      <c r="D17" s="68">
        <v>2</v>
      </c>
      <c r="F17">
        <v>15</v>
      </c>
      <c r="G17" s="88">
        <v>1</v>
      </c>
      <c r="H17" s="111" t="s">
        <v>194</v>
      </c>
      <c r="I17" s="68">
        <v>2</v>
      </c>
    </row>
    <row r="18" spans="1:9" ht="16.8" customHeight="1" x14ac:dyDescent="0.3">
      <c r="A18">
        <v>16</v>
      </c>
      <c r="B18" s="88">
        <v>2</v>
      </c>
      <c r="C18" s="111" t="s">
        <v>180</v>
      </c>
      <c r="D18" s="75" t="s">
        <v>158</v>
      </c>
      <c r="F18">
        <v>16</v>
      </c>
      <c r="G18" s="88">
        <v>2</v>
      </c>
      <c r="H18" s="111" t="s">
        <v>180</v>
      </c>
      <c r="I18" s="75" t="s">
        <v>158</v>
      </c>
    </row>
    <row r="19" spans="1:9" ht="16.8" customHeight="1" x14ac:dyDescent="0.3">
      <c r="A19">
        <v>17</v>
      </c>
      <c r="B19" s="88">
        <v>3</v>
      </c>
      <c r="C19" s="111" t="s">
        <v>37</v>
      </c>
      <c r="D19" s="79" t="s">
        <v>172</v>
      </c>
      <c r="F19">
        <v>17</v>
      </c>
      <c r="G19" s="88">
        <v>3</v>
      </c>
      <c r="H19" s="111" t="s">
        <v>37</v>
      </c>
      <c r="I19" s="79" t="s">
        <v>172</v>
      </c>
    </row>
    <row r="20" spans="1:9" ht="16.8" customHeight="1" x14ac:dyDescent="0.3">
      <c r="A20">
        <v>18</v>
      </c>
      <c r="B20" s="88">
        <v>4</v>
      </c>
      <c r="C20" s="111" t="s">
        <v>93</v>
      </c>
      <c r="D20" s="87">
        <v>1</v>
      </c>
      <c r="F20">
        <v>18</v>
      </c>
      <c r="G20" s="88">
        <v>4</v>
      </c>
      <c r="H20" s="111" t="s">
        <v>93</v>
      </c>
      <c r="I20" s="87">
        <v>1</v>
      </c>
    </row>
    <row r="21" spans="1:9" ht="16.8" customHeight="1" x14ac:dyDescent="0.3">
      <c r="A21">
        <v>19</v>
      </c>
      <c r="B21" s="88">
        <v>5</v>
      </c>
      <c r="C21" s="111" t="s">
        <v>118</v>
      </c>
      <c r="D21" s="87">
        <v>1</v>
      </c>
      <c r="F21">
        <v>19</v>
      </c>
      <c r="G21" s="88">
        <v>5</v>
      </c>
      <c r="H21" s="111" t="s">
        <v>118</v>
      </c>
      <c r="I21" s="87">
        <v>1</v>
      </c>
    </row>
    <row r="22" spans="1:9" ht="16.8" customHeight="1" x14ac:dyDescent="0.3">
      <c r="A22">
        <v>20</v>
      </c>
      <c r="B22" s="88">
        <v>6</v>
      </c>
      <c r="C22" s="111" t="s">
        <v>195</v>
      </c>
      <c r="D22" s="80">
        <v>1</v>
      </c>
      <c r="F22">
        <v>20</v>
      </c>
      <c r="G22" s="88">
        <v>6</v>
      </c>
      <c r="H22" s="111" t="s">
        <v>195</v>
      </c>
      <c r="I22" s="80">
        <v>1</v>
      </c>
    </row>
    <row r="23" spans="1:9" ht="16.8" customHeight="1" x14ac:dyDescent="0.3">
      <c r="A23">
        <v>21</v>
      </c>
      <c r="B23" s="88">
        <v>7</v>
      </c>
      <c r="C23" s="111" t="s">
        <v>97</v>
      </c>
      <c r="D23" s="84" t="s">
        <v>175</v>
      </c>
      <c r="F23">
        <v>21</v>
      </c>
      <c r="G23" s="88">
        <v>7</v>
      </c>
      <c r="H23" s="111" t="s">
        <v>97</v>
      </c>
      <c r="I23" s="84" t="s">
        <v>175</v>
      </c>
    </row>
    <row r="24" spans="1:9" ht="16.8" customHeight="1" x14ac:dyDescent="0.3">
      <c r="A24">
        <v>22</v>
      </c>
      <c r="B24" s="88">
        <v>8</v>
      </c>
      <c r="C24" s="111" t="s">
        <v>102</v>
      </c>
      <c r="D24" s="68">
        <v>2</v>
      </c>
      <c r="F24">
        <v>22</v>
      </c>
      <c r="G24" s="88">
        <v>8</v>
      </c>
      <c r="H24" s="111" t="s">
        <v>102</v>
      </c>
      <c r="I24" s="68">
        <v>2</v>
      </c>
    </row>
    <row r="25" spans="1:9" ht="16.8" customHeight="1" x14ac:dyDescent="0.3">
      <c r="A25">
        <v>23</v>
      </c>
      <c r="B25" s="88">
        <v>9</v>
      </c>
      <c r="C25" s="111" t="s">
        <v>181</v>
      </c>
      <c r="D25" s="68">
        <v>2</v>
      </c>
      <c r="F25">
        <v>23</v>
      </c>
      <c r="G25" s="88">
        <v>9</v>
      </c>
      <c r="H25" s="111" t="s">
        <v>181</v>
      </c>
      <c r="I25" s="68">
        <v>2</v>
      </c>
    </row>
    <row r="26" spans="1:9" ht="16.8" customHeight="1" x14ac:dyDescent="0.3">
      <c r="A26">
        <v>24</v>
      </c>
      <c r="B26" s="88">
        <v>10</v>
      </c>
      <c r="C26" s="111" t="s">
        <v>135</v>
      </c>
      <c r="D26" s="68">
        <v>2</v>
      </c>
      <c r="F26">
        <v>24</v>
      </c>
      <c r="G26" s="88">
        <v>10</v>
      </c>
      <c r="H26" s="111" t="s">
        <v>135</v>
      </c>
      <c r="I26" s="68">
        <v>2</v>
      </c>
    </row>
    <row r="27" spans="1:9" ht="16.8" customHeight="1" x14ac:dyDescent="0.3">
      <c r="A27">
        <v>25</v>
      </c>
      <c r="B27" s="88">
        <v>11</v>
      </c>
      <c r="C27" s="111" t="s">
        <v>138</v>
      </c>
      <c r="D27" s="68">
        <v>2</v>
      </c>
      <c r="F27">
        <v>25</v>
      </c>
      <c r="G27" s="88">
        <v>11</v>
      </c>
      <c r="H27" s="111" t="s">
        <v>138</v>
      </c>
      <c r="I27" s="68">
        <v>2</v>
      </c>
    </row>
    <row r="28" spans="1:9" ht="16.8" customHeight="1" x14ac:dyDescent="0.3">
      <c r="A28">
        <v>26</v>
      </c>
      <c r="B28" s="90">
        <v>12</v>
      </c>
      <c r="C28" s="115" t="s">
        <v>133</v>
      </c>
      <c r="D28" s="87">
        <v>1</v>
      </c>
      <c r="E28" s="109"/>
      <c r="F28">
        <v>26</v>
      </c>
      <c r="G28" s="90"/>
      <c r="H28" s="106"/>
      <c r="I28" s="87"/>
    </row>
    <row r="29" spans="1:9" ht="16.8" customHeight="1" x14ac:dyDescent="0.3">
      <c r="A29">
        <v>27</v>
      </c>
      <c r="B29" s="90">
        <v>13</v>
      </c>
      <c r="C29" s="115" t="s">
        <v>119</v>
      </c>
      <c r="D29" s="68">
        <v>2</v>
      </c>
      <c r="F29">
        <v>27</v>
      </c>
      <c r="G29" s="90"/>
      <c r="H29" s="106"/>
      <c r="I29" s="68"/>
    </row>
    <row r="30" spans="1:9" ht="16.8" customHeight="1" x14ac:dyDescent="0.3">
      <c r="A30">
        <v>28</v>
      </c>
      <c r="B30" s="64" t="s">
        <v>182</v>
      </c>
      <c r="C30" s="64" t="s">
        <v>82</v>
      </c>
      <c r="D30" s="65" t="s">
        <v>159</v>
      </c>
      <c r="F30">
        <v>28</v>
      </c>
      <c r="G30" s="64" t="s">
        <v>182</v>
      </c>
      <c r="H30" s="64" t="s">
        <v>82</v>
      </c>
      <c r="I30" s="65" t="s">
        <v>159</v>
      </c>
    </row>
    <row r="31" spans="1:9" ht="16.8" customHeight="1" x14ac:dyDescent="0.3">
      <c r="A31">
        <v>29</v>
      </c>
      <c r="B31" s="91">
        <v>1</v>
      </c>
      <c r="C31" s="112" t="s">
        <v>196</v>
      </c>
      <c r="D31" s="68">
        <v>2</v>
      </c>
      <c r="F31">
        <v>29</v>
      </c>
      <c r="G31" s="91">
        <v>1</v>
      </c>
      <c r="H31" s="112" t="s">
        <v>196</v>
      </c>
      <c r="I31" s="68">
        <v>2</v>
      </c>
    </row>
    <row r="32" spans="1:9" ht="16.8" customHeight="1" x14ac:dyDescent="0.3">
      <c r="A32">
        <v>30</v>
      </c>
      <c r="B32" s="91">
        <v>2</v>
      </c>
      <c r="C32" s="112" t="s">
        <v>137</v>
      </c>
      <c r="D32" s="92" t="s">
        <v>182</v>
      </c>
      <c r="F32">
        <v>30</v>
      </c>
      <c r="G32" s="91">
        <v>2</v>
      </c>
      <c r="H32" s="112" t="s">
        <v>137</v>
      </c>
      <c r="I32" s="92" t="s">
        <v>182</v>
      </c>
    </row>
    <row r="33" spans="1:9" ht="16.8" customHeight="1" x14ac:dyDescent="0.3">
      <c r="A33">
        <v>31</v>
      </c>
      <c r="B33" s="91">
        <v>3</v>
      </c>
      <c r="C33" s="112" t="s">
        <v>131</v>
      </c>
      <c r="D33" s="92" t="s">
        <v>182</v>
      </c>
      <c r="F33">
        <v>31</v>
      </c>
      <c r="G33" s="91">
        <v>3</v>
      </c>
      <c r="H33" s="112" t="s">
        <v>131</v>
      </c>
      <c r="I33" s="92" t="s">
        <v>182</v>
      </c>
    </row>
    <row r="34" spans="1:9" ht="16.8" customHeight="1" x14ac:dyDescent="0.3">
      <c r="A34">
        <v>32</v>
      </c>
      <c r="B34" s="93">
        <v>4</v>
      </c>
      <c r="C34" s="112" t="s">
        <v>114</v>
      </c>
      <c r="D34" s="94" t="s">
        <v>169</v>
      </c>
      <c r="F34">
        <v>32</v>
      </c>
      <c r="G34" s="93">
        <v>4</v>
      </c>
      <c r="H34" s="112" t="s">
        <v>114</v>
      </c>
      <c r="I34" s="94" t="s">
        <v>169</v>
      </c>
    </row>
    <row r="35" spans="1:9" ht="16.8" customHeight="1" x14ac:dyDescent="0.3">
      <c r="A35">
        <v>33</v>
      </c>
      <c r="B35" s="91">
        <v>5</v>
      </c>
      <c r="C35" s="112" t="s">
        <v>116</v>
      </c>
      <c r="D35" s="94" t="s">
        <v>169</v>
      </c>
      <c r="E35" s="109"/>
      <c r="F35">
        <v>33</v>
      </c>
      <c r="G35" s="91">
        <v>5</v>
      </c>
      <c r="H35" s="114" t="s">
        <v>123</v>
      </c>
      <c r="I35" s="94" t="s">
        <v>169</v>
      </c>
    </row>
    <row r="36" spans="1:9" ht="16.8" customHeight="1" x14ac:dyDescent="0.3">
      <c r="A36">
        <v>34</v>
      </c>
      <c r="B36" s="91">
        <v>6</v>
      </c>
      <c r="C36" s="112" t="s">
        <v>124</v>
      </c>
      <c r="D36" s="84" t="s">
        <v>175</v>
      </c>
      <c r="F36">
        <v>34</v>
      </c>
      <c r="G36" s="91">
        <v>6</v>
      </c>
      <c r="H36" s="112" t="s">
        <v>124</v>
      </c>
      <c r="I36" s="84" t="s">
        <v>175</v>
      </c>
    </row>
    <row r="37" spans="1:9" ht="16.8" customHeight="1" x14ac:dyDescent="0.3">
      <c r="A37">
        <v>35</v>
      </c>
      <c r="B37" s="91">
        <v>7</v>
      </c>
      <c r="C37" s="112" t="s">
        <v>113</v>
      </c>
      <c r="D37" s="84" t="s">
        <v>175</v>
      </c>
      <c r="F37">
        <v>35</v>
      </c>
      <c r="G37" s="91">
        <v>7</v>
      </c>
      <c r="H37" s="112" t="s">
        <v>113</v>
      </c>
      <c r="I37" s="84" t="s">
        <v>175</v>
      </c>
    </row>
    <row r="38" spans="1:9" ht="16.8" customHeight="1" x14ac:dyDescent="0.3">
      <c r="A38">
        <v>36</v>
      </c>
      <c r="B38" s="91">
        <v>8</v>
      </c>
      <c r="C38" s="113" t="s">
        <v>125</v>
      </c>
      <c r="D38" s="68">
        <v>2</v>
      </c>
      <c r="F38">
        <v>36</v>
      </c>
      <c r="G38" s="91">
        <v>8</v>
      </c>
      <c r="H38" s="112" t="s">
        <v>125</v>
      </c>
      <c r="I38" s="68">
        <v>2</v>
      </c>
    </row>
    <row r="39" spans="1:9" ht="16.8" customHeight="1" x14ac:dyDescent="0.3">
      <c r="A39">
        <v>37</v>
      </c>
      <c r="B39" s="91">
        <v>9</v>
      </c>
      <c r="C39" s="112" t="s">
        <v>197</v>
      </c>
      <c r="D39" s="68">
        <v>2</v>
      </c>
      <c r="F39">
        <v>37</v>
      </c>
      <c r="G39" s="91">
        <v>9</v>
      </c>
      <c r="H39" s="112" t="s">
        <v>197</v>
      </c>
      <c r="I39" s="68">
        <v>2</v>
      </c>
    </row>
    <row r="40" spans="1:9" ht="16.8" customHeight="1" x14ac:dyDescent="0.3">
      <c r="A40">
        <v>38</v>
      </c>
      <c r="B40" s="91">
        <v>10</v>
      </c>
      <c r="C40" s="112" t="s">
        <v>139</v>
      </c>
      <c r="D40" s="68">
        <v>2</v>
      </c>
      <c r="E40" s="109"/>
      <c r="F40">
        <v>38</v>
      </c>
      <c r="G40" s="91">
        <v>10</v>
      </c>
      <c r="H40" s="114" t="s">
        <v>136</v>
      </c>
      <c r="I40" s="68">
        <v>2</v>
      </c>
    </row>
    <row r="41" spans="1:9" ht="16.8" customHeight="1" x14ac:dyDescent="0.3">
      <c r="A41">
        <v>39</v>
      </c>
      <c r="B41" s="91">
        <v>11</v>
      </c>
      <c r="C41" s="112" t="s">
        <v>109</v>
      </c>
      <c r="D41" s="85">
        <v>3</v>
      </c>
      <c r="E41" s="109"/>
      <c r="F41">
        <v>39</v>
      </c>
      <c r="G41" s="91">
        <v>11</v>
      </c>
      <c r="H41" s="115" t="s">
        <v>119</v>
      </c>
      <c r="I41" s="85">
        <v>3</v>
      </c>
    </row>
    <row r="42" spans="1:9" ht="16.8" customHeight="1" x14ac:dyDescent="0.3">
      <c r="A42">
        <v>40</v>
      </c>
      <c r="B42" s="96">
        <v>12</v>
      </c>
      <c r="C42" s="114" t="s">
        <v>123</v>
      </c>
      <c r="D42" s="68">
        <v>2</v>
      </c>
      <c r="F42">
        <v>40</v>
      </c>
      <c r="G42" s="96"/>
      <c r="H42" s="106"/>
      <c r="I42" s="68"/>
    </row>
    <row r="43" spans="1:9" ht="16.8" customHeight="1" x14ac:dyDescent="0.3">
      <c r="A43">
        <v>41</v>
      </c>
      <c r="B43" s="96">
        <v>13</v>
      </c>
      <c r="C43" s="114" t="s">
        <v>136</v>
      </c>
      <c r="D43" s="97">
        <v>2</v>
      </c>
      <c r="F43">
        <v>41</v>
      </c>
      <c r="G43" s="96"/>
      <c r="H43" s="106"/>
      <c r="I43" s="97"/>
    </row>
  </sheetData>
  <mergeCells count="2">
    <mergeCell ref="B1:D1"/>
    <mergeCell ref="G1:I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C4882-E505-4A5F-9014-6FEEAC289475}">
  <sheetPr>
    <pageSetUpPr fitToPage="1"/>
  </sheetPr>
  <dimension ref="A1:S44"/>
  <sheetViews>
    <sheetView zoomScale="80" zoomScaleNormal="80" workbookViewId="0">
      <selection sqref="A1:D42"/>
    </sheetView>
  </sheetViews>
  <sheetFormatPr defaultRowHeight="14.4" x14ac:dyDescent="0.3"/>
  <cols>
    <col min="1" max="1" width="2.88671875" customWidth="1"/>
    <col min="3" max="3" width="24.44140625" customWidth="1"/>
    <col min="5" max="5" width="12" customWidth="1"/>
    <col min="14" max="14" width="9.6640625" style="3" customWidth="1"/>
    <col min="15" max="15" width="7.33203125" style="3" customWidth="1"/>
    <col min="16" max="16" width="8.88671875" customWidth="1"/>
    <col min="17" max="17" width="10" customWidth="1"/>
    <col min="18" max="18" width="24.33203125" customWidth="1"/>
  </cols>
  <sheetData>
    <row r="1" spans="1:19" ht="48.6" thickBot="1" x14ac:dyDescent="0.35">
      <c r="B1" s="64" t="s">
        <v>158</v>
      </c>
      <c r="C1" s="64" t="s">
        <v>82</v>
      </c>
      <c r="D1" s="65" t="s">
        <v>159</v>
      </c>
      <c r="E1" s="65" t="s">
        <v>160</v>
      </c>
      <c r="F1" s="65" t="s">
        <v>161</v>
      </c>
      <c r="G1" s="65" t="s">
        <v>162</v>
      </c>
      <c r="H1" s="65" t="s">
        <v>163</v>
      </c>
      <c r="I1" s="65" t="s">
        <v>164</v>
      </c>
      <c r="J1" s="107"/>
      <c r="K1" s="65" t="s">
        <v>165</v>
      </c>
      <c r="L1" s="65" t="s">
        <v>166</v>
      </c>
      <c r="M1" s="65" t="s">
        <v>167</v>
      </c>
      <c r="N1" s="102" t="s">
        <v>185</v>
      </c>
      <c r="O1" s="101" t="s">
        <v>186</v>
      </c>
      <c r="P1" s="65" t="s">
        <v>184</v>
      </c>
      <c r="Q1" s="98"/>
    </row>
    <row r="2" spans="1:19" ht="20.25" customHeight="1" x14ac:dyDescent="0.3">
      <c r="A2">
        <v>1</v>
      </c>
      <c r="B2" s="66">
        <v>1</v>
      </c>
      <c r="C2" s="67" t="s">
        <v>168</v>
      </c>
      <c r="D2" s="68">
        <v>2</v>
      </c>
      <c r="E2" s="69" t="s">
        <v>62</v>
      </c>
      <c r="F2" s="70">
        <v>96</v>
      </c>
      <c r="G2" s="71">
        <v>138</v>
      </c>
      <c r="H2" s="72">
        <f t="shared" ref="H2:H14" si="0">G2*100/F2</f>
        <v>143.75</v>
      </c>
      <c r="I2" s="72">
        <f t="shared" ref="I2:I14" si="1">H2+(20/100*H2)</f>
        <v>172.5</v>
      </c>
      <c r="J2" s="72"/>
      <c r="K2" s="71">
        <v>2</v>
      </c>
      <c r="L2" s="71">
        <v>2</v>
      </c>
      <c r="M2" s="71">
        <v>2</v>
      </c>
      <c r="N2" s="13"/>
      <c r="O2" s="13">
        <v>3.3898305084745762E-3</v>
      </c>
      <c r="P2" s="103">
        <f>O2*I2</f>
        <v>0.5847457627118644</v>
      </c>
      <c r="Q2" s="104"/>
      <c r="R2" s="73" t="s">
        <v>170</v>
      </c>
      <c r="S2" s="74">
        <f>SUM(K2:K42)</f>
        <v>50.25</v>
      </c>
    </row>
    <row r="3" spans="1:19" ht="20.25" customHeight="1" x14ac:dyDescent="0.3">
      <c r="A3">
        <v>2</v>
      </c>
      <c r="B3" s="66">
        <v>2</v>
      </c>
      <c r="C3" s="67" t="s">
        <v>132</v>
      </c>
      <c r="D3" s="75" t="s">
        <v>158</v>
      </c>
      <c r="E3" s="76"/>
      <c r="F3" s="70">
        <v>80</v>
      </c>
      <c r="G3" s="71">
        <v>46</v>
      </c>
      <c r="H3" s="72">
        <f t="shared" si="0"/>
        <v>57.5</v>
      </c>
      <c r="I3" s="72">
        <f t="shared" si="1"/>
        <v>69</v>
      </c>
      <c r="J3" s="72"/>
      <c r="K3" s="71">
        <v>1</v>
      </c>
      <c r="L3" s="71">
        <v>1</v>
      </c>
      <c r="M3" s="71">
        <v>1</v>
      </c>
      <c r="N3" s="13"/>
      <c r="P3" s="103"/>
      <c r="Q3" s="104"/>
      <c r="R3" s="77" t="s">
        <v>171</v>
      </c>
      <c r="S3" s="78">
        <f>SUM(L2:L42)</f>
        <v>58</v>
      </c>
    </row>
    <row r="4" spans="1:19" ht="20.25" customHeight="1" x14ac:dyDescent="0.3">
      <c r="A4">
        <v>3</v>
      </c>
      <c r="B4" s="66">
        <v>3</v>
      </c>
      <c r="C4" s="67" t="s">
        <v>140</v>
      </c>
      <c r="D4" s="79" t="s">
        <v>172</v>
      </c>
      <c r="E4" s="76"/>
      <c r="F4" s="70">
        <v>50</v>
      </c>
      <c r="G4" s="71">
        <v>46</v>
      </c>
      <c r="H4" s="72">
        <f t="shared" si="0"/>
        <v>92</v>
      </c>
      <c r="I4" s="72">
        <f t="shared" si="1"/>
        <v>110.4</v>
      </c>
      <c r="J4" s="72"/>
      <c r="K4" s="71">
        <v>1.25</v>
      </c>
      <c r="L4" s="71">
        <v>2</v>
      </c>
      <c r="M4" s="71">
        <v>2</v>
      </c>
      <c r="N4" s="13"/>
      <c r="O4" s="13"/>
      <c r="P4" s="103"/>
      <c r="Q4" s="104"/>
      <c r="R4" s="77" t="s">
        <v>173</v>
      </c>
      <c r="S4" s="78">
        <f>SUM(M2:M42)</f>
        <v>58</v>
      </c>
    </row>
    <row r="5" spans="1:19" ht="20.25" customHeight="1" thickBot="1" x14ac:dyDescent="0.35">
      <c r="A5">
        <v>4</v>
      </c>
      <c r="B5" s="66">
        <v>4</v>
      </c>
      <c r="C5" s="67" t="s">
        <v>96</v>
      </c>
      <c r="D5" s="80">
        <v>1</v>
      </c>
      <c r="E5" s="81" t="s">
        <v>51</v>
      </c>
      <c r="F5" s="70">
        <v>100</v>
      </c>
      <c r="G5" s="71">
        <v>46</v>
      </c>
      <c r="H5" s="72">
        <f t="shared" si="0"/>
        <v>46</v>
      </c>
      <c r="I5" s="72">
        <f t="shared" si="1"/>
        <v>55.2</v>
      </c>
      <c r="J5" s="72"/>
      <c r="K5" s="71">
        <v>0.75</v>
      </c>
      <c r="L5" s="71">
        <v>1</v>
      </c>
      <c r="M5" s="71">
        <v>1</v>
      </c>
      <c r="N5" s="13"/>
      <c r="O5" s="13">
        <v>3.4615384615384612E-5</v>
      </c>
      <c r="P5" s="103">
        <f t="shared" ref="P5:P42" si="2">O5*I5</f>
        <v>1.9107692307692306E-3</v>
      </c>
      <c r="Q5" s="104"/>
      <c r="R5" s="82" t="s">
        <v>174</v>
      </c>
      <c r="S5" s="83">
        <f>S2*3.5</f>
        <v>175.875</v>
      </c>
    </row>
    <row r="6" spans="1:19" ht="20.25" customHeight="1" x14ac:dyDescent="0.3">
      <c r="A6">
        <v>5</v>
      </c>
      <c r="B6" s="66">
        <v>5</v>
      </c>
      <c r="C6" s="105" t="s">
        <v>120</v>
      </c>
      <c r="D6" s="80">
        <v>1</v>
      </c>
      <c r="E6" s="81" t="s">
        <v>50</v>
      </c>
      <c r="F6" s="70">
        <v>22</v>
      </c>
      <c r="G6" s="71">
        <v>46</v>
      </c>
      <c r="H6" s="72">
        <f t="shared" si="0"/>
        <v>209.09090909090909</v>
      </c>
      <c r="I6" s="72">
        <f t="shared" si="1"/>
        <v>250.90909090909091</v>
      </c>
      <c r="J6" s="72"/>
      <c r="K6" s="71">
        <v>2.5</v>
      </c>
      <c r="L6" s="71">
        <v>3</v>
      </c>
      <c r="M6" s="71">
        <v>3</v>
      </c>
      <c r="N6" s="13"/>
      <c r="O6" s="13">
        <v>1.6428571428571428E-4</v>
      </c>
      <c r="P6" s="103">
        <f t="shared" si="2"/>
        <v>4.122077922077922E-2</v>
      </c>
      <c r="Q6" s="104"/>
    </row>
    <row r="7" spans="1:19" ht="20.25" customHeight="1" x14ac:dyDescent="0.3">
      <c r="A7">
        <v>6</v>
      </c>
      <c r="B7" s="66">
        <v>6</v>
      </c>
      <c r="C7" s="105" t="s">
        <v>98</v>
      </c>
      <c r="D7" s="80">
        <v>1</v>
      </c>
      <c r="E7" s="81" t="s">
        <v>52</v>
      </c>
      <c r="F7" s="70">
        <v>82</v>
      </c>
      <c r="G7" s="71">
        <v>46</v>
      </c>
      <c r="H7" s="72">
        <f t="shared" si="0"/>
        <v>56.097560975609753</v>
      </c>
      <c r="I7" s="72">
        <f t="shared" si="1"/>
        <v>67.317073170731703</v>
      </c>
      <c r="J7" s="72"/>
      <c r="K7" s="71">
        <v>1</v>
      </c>
      <c r="L7" s="71">
        <v>1</v>
      </c>
      <c r="M7" s="71">
        <v>1</v>
      </c>
      <c r="N7" s="13"/>
      <c r="O7" s="13"/>
      <c r="P7" s="103"/>
      <c r="Q7" s="104"/>
    </row>
    <row r="8" spans="1:19" ht="20.25" customHeight="1" x14ac:dyDescent="0.3">
      <c r="A8">
        <v>7</v>
      </c>
      <c r="B8" s="66">
        <v>7</v>
      </c>
      <c r="C8" s="105" t="s">
        <v>129</v>
      </c>
      <c r="D8" s="80">
        <v>1</v>
      </c>
      <c r="E8" s="81" t="s">
        <v>59</v>
      </c>
      <c r="F8" s="70">
        <v>72</v>
      </c>
      <c r="G8" s="71">
        <v>46</v>
      </c>
      <c r="H8" s="72">
        <f t="shared" si="0"/>
        <v>63.888888888888886</v>
      </c>
      <c r="I8" s="72">
        <f t="shared" si="1"/>
        <v>76.666666666666657</v>
      </c>
      <c r="J8" s="72"/>
      <c r="K8" s="71">
        <v>1</v>
      </c>
      <c r="L8" s="71">
        <v>1</v>
      </c>
      <c r="M8" s="71">
        <v>1</v>
      </c>
      <c r="N8" s="13"/>
      <c r="O8" s="13">
        <v>4.1000000000000005E-4</v>
      </c>
      <c r="P8" s="103">
        <f t="shared" si="2"/>
        <v>3.1433333333333334E-2</v>
      </c>
      <c r="Q8" s="104"/>
    </row>
    <row r="9" spans="1:19" ht="20.25" customHeight="1" x14ac:dyDescent="0.3">
      <c r="A9">
        <v>8</v>
      </c>
      <c r="B9" s="66">
        <v>8</v>
      </c>
      <c r="C9" s="105" t="s">
        <v>127</v>
      </c>
      <c r="D9" s="80">
        <v>1</v>
      </c>
      <c r="E9" s="81" t="s">
        <v>60</v>
      </c>
      <c r="F9" s="70">
        <v>38</v>
      </c>
      <c r="G9" s="71">
        <v>46</v>
      </c>
      <c r="H9" s="72">
        <f t="shared" si="0"/>
        <v>121.05263157894737</v>
      </c>
      <c r="I9" s="72">
        <f t="shared" si="1"/>
        <v>145.26315789473685</v>
      </c>
      <c r="J9" s="72"/>
      <c r="K9" s="71">
        <v>1.5</v>
      </c>
      <c r="L9" s="71">
        <v>2</v>
      </c>
      <c r="M9" s="71">
        <v>2</v>
      </c>
      <c r="N9" s="13"/>
      <c r="O9" s="13">
        <v>6.7500000000000004E-4</v>
      </c>
      <c r="P9" s="103">
        <f t="shared" si="2"/>
        <v>9.8052631578947377E-2</v>
      </c>
      <c r="Q9" s="104"/>
    </row>
    <row r="10" spans="1:19" ht="20.25" customHeight="1" x14ac:dyDescent="0.3">
      <c r="A10">
        <v>9</v>
      </c>
      <c r="B10" s="66">
        <v>9</v>
      </c>
      <c r="C10" s="105" t="s">
        <v>128</v>
      </c>
      <c r="D10" s="84" t="s">
        <v>175</v>
      </c>
      <c r="E10" s="81" t="s">
        <v>58</v>
      </c>
      <c r="F10" s="70">
        <v>60</v>
      </c>
      <c r="G10" s="71">
        <v>46</v>
      </c>
      <c r="H10" s="72">
        <f t="shared" si="0"/>
        <v>76.666666666666671</v>
      </c>
      <c r="I10" s="72">
        <f t="shared" si="1"/>
        <v>92</v>
      </c>
      <c r="J10" s="72"/>
      <c r="K10" s="71">
        <v>1</v>
      </c>
      <c r="L10" s="71">
        <v>1</v>
      </c>
      <c r="M10" s="71">
        <v>1</v>
      </c>
      <c r="N10" s="13"/>
      <c r="O10" s="13">
        <v>4.0909090909090908E-4</v>
      </c>
      <c r="P10" s="103">
        <f t="shared" si="2"/>
        <v>3.7636363636363634E-2</v>
      </c>
      <c r="Q10" s="104"/>
    </row>
    <row r="11" spans="1:19" ht="20.25" customHeight="1" x14ac:dyDescent="0.3">
      <c r="A11">
        <v>10</v>
      </c>
      <c r="B11" s="66">
        <v>10</v>
      </c>
      <c r="C11" s="105" t="s">
        <v>176</v>
      </c>
      <c r="D11" s="84" t="s">
        <v>175</v>
      </c>
      <c r="E11" s="81" t="s">
        <v>70</v>
      </c>
      <c r="F11" s="70">
        <v>95</v>
      </c>
      <c r="G11" s="71">
        <v>46</v>
      </c>
      <c r="H11" s="72">
        <f t="shared" si="0"/>
        <v>48.421052631578945</v>
      </c>
      <c r="I11" s="72">
        <f t="shared" si="1"/>
        <v>58.105263157894733</v>
      </c>
      <c r="J11" s="72"/>
      <c r="K11" s="71">
        <v>0.75</v>
      </c>
      <c r="L11" s="71">
        <v>1</v>
      </c>
      <c r="M11" s="71">
        <v>1</v>
      </c>
      <c r="N11" s="13"/>
      <c r="O11" s="13">
        <v>6.4999999999999997E-4</v>
      </c>
      <c r="P11" s="103">
        <f t="shared" si="2"/>
        <v>3.7768421052631576E-2</v>
      </c>
      <c r="Q11" s="104"/>
    </row>
    <row r="12" spans="1:19" ht="20.25" customHeight="1" x14ac:dyDescent="0.3">
      <c r="A12">
        <v>11</v>
      </c>
      <c r="B12" s="66">
        <v>11</v>
      </c>
      <c r="C12" s="67" t="s">
        <v>177</v>
      </c>
      <c r="D12" s="85">
        <v>3</v>
      </c>
      <c r="E12" s="81" t="s">
        <v>54</v>
      </c>
      <c r="F12" s="70">
        <v>70</v>
      </c>
      <c r="G12" s="71">
        <v>46</v>
      </c>
      <c r="H12" s="72">
        <f t="shared" si="0"/>
        <v>65.714285714285708</v>
      </c>
      <c r="I12" s="72">
        <f t="shared" si="1"/>
        <v>78.857142857142847</v>
      </c>
      <c r="J12" s="72"/>
      <c r="K12" s="71">
        <v>1</v>
      </c>
      <c r="L12" s="71">
        <v>1</v>
      </c>
      <c r="M12" s="71">
        <v>1</v>
      </c>
      <c r="N12" s="13" t="s">
        <v>146</v>
      </c>
      <c r="O12" s="13">
        <v>2.3944444444444443E-3</v>
      </c>
      <c r="P12" s="103">
        <f t="shared" si="2"/>
        <v>0.18881904761904758</v>
      </c>
      <c r="Q12" s="104"/>
    </row>
    <row r="13" spans="1:19" ht="20.25" customHeight="1" x14ac:dyDescent="0.3">
      <c r="A13">
        <v>12</v>
      </c>
      <c r="B13" s="86">
        <v>12</v>
      </c>
      <c r="C13" s="106" t="s">
        <v>178</v>
      </c>
      <c r="D13" s="87">
        <v>1</v>
      </c>
      <c r="E13" s="69" t="s">
        <v>51</v>
      </c>
      <c r="F13" s="70">
        <v>83</v>
      </c>
      <c r="G13" s="71">
        <v>46</v>
      </c>
      <c r="H13" s="72">
        <f t="shared" si="0"/>
        <v>55.421686746987952</v>
      </c>
      <c r="I13" s="72">
        <f t="shared" si="1"/>
        <v>66.506024096385545</v>
      </c>
      <c r="J13" s="72"/>
      <c r="K13" s="71">
        <v>1</v>
      </c>
      <c r="L13" s="71">
        <v>1</v>
      </c>
      <c r="M13" s="71">
        <v>1</v>
      </c>
      <c r="N13" s="13"/>
      <c r="O13" s="13">
        <v>9.1052631578947361E-4</v>
      </c>
      <c r="P13" s="103">
        <f t="shared" si="2"/>
        <v>6.0555485098287884E-2</v>
      </c>
      <c r="Q13" s="104"/>
    </row>
    <row r="14" spans="1:19" ht="20.25" customHeight="1" x14ac:dyDescent="0.3">
      <c r="A14">
        <v>13</v>
      </c>
      <c r="B14" s="86">
        <v>13</v>
      </c>
      <c r="C14" s="106" t="s">
        <v>112</v>
      </c>
      <c r="D14" s="87">
        <v>1</v>
      </c>
      <c r="E14" s="81" t="s">
        <v>51</v>
      </c>
      <c r="F14" s="70">
        <v>68</v>
      </c>
      <c r="G14" s="71">
        <v>46</v>
      </c>
      <c r="H14" s="72">
        <f t="shared" si="0"/>
        <v>67.647058823529406</v>
      </c>
      <c r="I14" s="72">
        <f t="shared" si="1"/>
        <v>81.17647058823529</v>
      </c>
      <c r="J14" s="72"/>
      <c r="K14" s="71">
        <v>1</v>
      </c>
      <c r="L14" s="71">
        <v>1</v>
      </c>
      <c r="M14" s="71">
        <v>1</v>
      </c>
      <c r="N14" s="13"/>
      <c r="O14" s="3">
        <v>1.3333333333333334E-4</v>
      </c>
      <c r="P14" s="103">
        <f t="shared" si="2"/>
        <v>1.0823529411764706E-2</v>
      </c>
      <c r="Q14" s="104"/>
    </row>
    <row r="15" spans="1:19" ht="20.25" customHeight="1" x14ac:dyDescent="0.3">
      <c r="A15">
        <v>14</v>
      </c>
      <c r="B15" s="64" t="s">
        <v>179</v>
      </c>
      <c r="C15" s="64" t="s">
        <v>82</v>
      </c>
      <c r="D15" s="65" t="s">
        <v>159</v>
      </c>
      <c r="E15" s="65" t="s">
        <v>160</v>
      </c>
      <c r="F15" s="65" t="s">
        <v>161</v>
      </c>
      <c r="G15" s="71"/>
      <c r="H15" s="72"/>
      <c r="I15" s="72"/>
      <c r="J15" s="72"/>
      <c r="K15" s="71"/>
      <c r="L15" s="71"/>
      <c r="M15" s="71"/>
      <c r="N15" s="13"/>
      <c r="O15" s="13"/>
      <c r="P15" s="103"/>
      <c r="Q15" s="104"/>
    </row>
    <row r="16" spans="1:19" ht="20.25" customHeight="1" x14ac:dyDescent="0.3">
      <c r="A16">
        <v>15</v>
      </c>
      <c r="B16" s="88">
        <v>1</v>
      </c>
      <c r="C16" s="67" t="s">
        <v>168</v>
      </c>
      <c r="D16" s="68">
        <v>2</v>
      </c>
      <c r="E16" s="69" t="s">
        <v>62</v>
      </c>
      <c r="F16" s="70">
        <v>96</v>
      </c>
      <c r="G16" s="71"/>
      <c r="H16" s="72"/>
      <c r="I16" s="72"/>
      <c r="J16" s="72"/>
      <c r="K16" s="71"/>
      <c r="L16" s="71">
        <v>1</v>
      </c>
      <c r="M16" s="71">
        <v>1</v>
      </c>
      <c r="N16" s="13"/>
      <c r="O16" s="13"/>
      <c r="P16" s="103"/>
      <c r="Q16" s="104"/>
    </row>
    <row r="17" spans="1:17" ht="20.25" customHeight="1" x14ac:dyDescent="0.3">
      <c r="A17">
        <v>16</v>
      </c>
      <c r="B17" s="88">
        <v>2</v>
      </c>
      <c r="C17" s="67" t="s">
        <v>180</v>
      </c>
      <c r="D17" s="75" t="s">
        <v>158</v>
      </c>
      <c r="E17" s="76"/>
      <c r="F17" s="70">
        <v>50</v>
      </c>
      <c r="G17" s="71">
        <v>46</v>
      </c>
      <c r="H17" s="72">
        <f t="shared" ref="H17:H28" si="3">G17*100/F17</f>
        <v>92</v>
      </c>
      <c r="I17" s="72">
        <f t="shared" ref="I17:I28" si="4">H17+(20/100*H17)</f>
        <v>110.4</v>
      </c>
      <c r="J17" s="72"/>
      <c r="K17" s="71">
        <v>1.25</v>
      </c>
      <c r="L17" s="71">
        <v>2</v>
      </c>
      <c r="M17" s="71">
        <v>2</v>
      </c>
      <c r="N17" s="13"/>
      <c r="O17" s="13"/>
      <c r="P17" s="103"/>
      <c r="Q17" s="104"/>
    </row>
    <row r="18" spans="1:17" ht="20.25" customHeight="1" x14ac:dyDescent="0.3">
      <c r="A18">
        <v>17</v>
      </c>
      <c r="B18" s="88">
        <v>3</v>
      </c>
      <c r="C18" s="67" t="s">
        <v>37</v>
      </c>
      <c r="D18" s="79" t="s">
        <v>172</v>
      </c>
      <c r="E18" s="76"/>
      <c r="F18" s="70">
        <v>70</v>
      </c>
      <c r="G18" s="71">
        <v>46</v>
      </c>
      <c r="H18" s="72">
        <f t="shared" si="3"/>
        <v>65.714285714285708</v>
      </c>
      <c r="I18" s="72">
        <f t="shared" si="4"/>
        <v>78.857142857142847</v>
      </c>
      <c r="J18" s="72"/>
      <c r="K18" s="71">
        <v>1</v>
      </c>
      <c r="L18" s="71">
        <v>1</v>
      </c>
      <c r="M18" s="71">
        <v>1</v>
      </c>
      <c r="N18" s="13"/>
      <c r="O18" s="13"/>
      <c r="P18" s="103"/>
      <c r="Q18" s="104"/>
    </row>
    <row r="19" spans="1:17" ht="20.25" customHeight="1" x14ac:dyDescent="0.3">
      <c r="A19">
        <v>18</v>
      </c>
      <c r="B19" s="88">
        <v>4</v>
      </c>
      <c r="C19" s="67" t="s">
        <v>93</v>
      </c>
      <c r="D19" s="87">
        <v>1</v>
      </c>
      <c r="E19" s="69" t="s">
        <v>51</v>
      </c>
      <c r="F19" s="70">
        <v>50</v>
      </c>
      <c r="G19" s="71">
        <v>46</v>
      </c>
      <c r="H19" s="72">
        <f t="shared" si="3"/>
        <v>92</v>
      </c>
      <c r="I19" s="72">
        <f t="shared" si="4"/>
        <v>110.4</v>
      </c>
      <c r="J19" s="72"/>
      <c r="K19" s="71">
        <v>1.25</v>
      </c>
      <c r="L19" s="71">
        <v>2</v>
      </c>
      <c r="M19" s="71">
        <v>2</v>
      </c>
      <c r="N19" s="13"/>
      <c r="O19" s="13">
        <v>1E-4</v>
      </c>
      <c r="P19" s="103">
        <f t="shared" si="2"/>
        <v>1.1040000000000001E-2</v>
      </c>
      <c r="Q19" s="104"/>
    </row>
    <row r="20" spans="1:17" ht="20.25" customHeight="1" x14ac:dyDescent="0.3">
      <c r="A20">
        <v>19</v>
      </c>
      <c r="B20" s="88">
        <v>5</v>
      </c>
      <c r="C20" s="105" t="s">
        <v>118</v>
      </c>
      <c r="D20" s="87">
        <v>1</v>
      </c>
      <c r="E20" s="81" t="s">
        <v>66</v>
      </c>
      <c r="F20" s="70">
        <v>68</v>
      </c>
      <c r="G20" s="71">
        <v>46</v>
      </c>
      <c r="H20" s="72">
        <f t="shared" si="3"/>
        <v>67.647058823529406</v>
      </c>
      <c r="I20" s="72">
        <f t="shared" si="4"/>
        <v>81.17647058823529</v>
      </c>
      <c r="J20" s="72"/>
      <c r="K20" s="71">
        <v>1</v>
      </c>
      <c r="L20" s="71">
        <v>1</v>
      </c>
      <c r="M20" s="71">
        <v>1</v>
      </c>
      <c r="N20" s="13"/>
      <c r="O20" s="13">
        <v>1.08E-3</v>
      </c>
      <c r="P20" s="103">
        <f t="shared" si="2"/>
        <v>8.7670588235294111E-2</v>
      </c>
      <c r="Q20" s="104"/>
    </row>
    <row r="21" spans="1:17" ht="20.25" customHeight="1" x14ac:dyDescent="0.3">
      <c r="A21">
        <v>20</v>
      </c>
      <c r="B21" s="88">
        <v>6</v>
      </c>
      <c r="C21" s="105" t="s">
        <v>188</v>
      </c>
      <c r="D21" s="80">
        <v>1</v>
      </c>
      <c r="E21" s="69" t="s">
        <v>51</v>
      </c>
      <c r="F21" s="70">
        <v>96</v>
      </c>
      <c r="G21" s="71">
        <v>46</v>
      </c>
      <c r="H21" s="72">
        <f t="shared" si="3"/>
        <v>47.916666666666664</v>
      </c>
      <c r="I21" s="72">
        <f t="shared" si="4"/>
        <v>57.5</v>
      </c>
      <c r="J21" s="72"/>
      <c r="K21" s="71">
        <v>0.75</v>
      </c>
      <c r="L21" s="71">
        <v>1</v>
      </c>
      <c r="M21" s="71">
        <v>1</v>
      </c>
      <c r="N21" s="13"/>
      <c r="O21" s="13">
        <v>1.1888888888888889E-3</v>
      </c>
      <c r="P21" s="103">
        <f t="shared" si="2"/>
        <v>6.8361111111111109E-2</v>
      </c>
      <c r="Q21" s="104"/>
    </row>
    <row r="22" spans="1:17" ht="20.25" customHeight="1" x14ac:dyDescent="0.3">
      <c r="A22">
        <v>21</v>
      </c>
      <c r="B22" s="88">
        <v>7</v>
      </c>
      <c r="C22" s="105" t="s">
        <v>97</v>
      </c>
      <c r="D22" s="84" t="s">
        <v>175</v>
      </c>
      <c r="E22" s="81" t="s">
        <v>65</v>
      </c>
      <c r="F22" s="70">
        <v>75</v>
      </c>
      <c r="G22" s="71">
        <v>46</v>
      </c>
      <c r="H22" s="72">
        <f t="shared" si="3"/>
        <v>61.333333333333336</v>
      </c>
      <c r="I22" s="72">
        <f t="shared" si="4"/>
        <v>73.600000000000009</v>
      </c>
      <c r="J22" s="72"/>
      <c r="K22" s="71">
        <v>1</v>
      </c>
      <c r="L22" s="71">
        <v>1</v>
      </c>
      <c r="M22" s="71">
        <v>1</v>
      </c>
      <c r="N22" s="13"/>
      <c r="O22" s="13">
        <v>9.2E-5</v>
      </c>
      <c r="P22" s="103">
        <f t="shared" si="2"/>
        <v>6.7712000000000007E-3</v>
      </c>
      <c r="Q22" s="104"/>
    </row>
    <row r="23" spans="1:17" ht="20.25" customHeight="1" x14ac:dyDescent="0.3">
      <c r="A23">
        <v>22</v>
      </c>
      <c r="B23" s="88">
        <v>8</v>
      </c>
      <c r="C23" s="67" t="s">
        <v>102</v>
      </c>
      <c r="D23" s="68">
        <v>2</v>
      </c>
      <c r="E23" s="81" t="s">
        <v>62</v>
      </c>
      <c r="F23" s="70">
        <v>80</v>
      </c>
      <c r="G23" s="71">
        <v>46</v>
      </c>
      <c r="H23" s="72">
        <f t="shared" si="3"/>
        <v>57.5</v>
      </c>
      <c r="I23" s="72">
        <f t="shared" si="4"/>
        <v>69</v>
      </c>
      <c r="J23" s="72"/>
      <c r="K23" s="71">
        <v>1</v>
      </c>
      <c r="L23" s="71">
        <v>1</v>
      </c>
      <c r="M23" s="71">
        <v>1</v>
      </c>
      <c r="N23" s="13"/>
      <c r="O23" s="13">
        <v>9.2222222222222228E-4</v>
      </c>
      <c r="P23" s="103">
        <f t="shared" si="2"/>
        <v>6.3633333333333333E-2</v>
      </c>
      <c r="Q23" s="104"/>
    </row>
    <row r="24" spans="1:17" ht="20.25" customHeight="1" x14ac:dyDescent="0.3">
      <c r="A24">
        <v>23</v>
      </c>
      <c r="B24" s="88">
        <v>9</v>
      </c>
      <c r="C24" s="67" t="s">
        <v>181</v>
      </c>
      <c r="D24" s="68">
        <v>2</v>
      </c>
      <c r="E24" s="81" t="s">
        <v>62</v>
      </c>
      <c r="F24" s="70">
        <v>66</v>
      </c>
      <c r="G24" s="71">
        <v>46</v>
      </c>
      <c r="H24" s="72">
        <f t="shared" si="3"/>
        <v>69.696969696969703</v>
      </c>
      <c r="I24" s="72">
        <f t="shared" si="4"/>
        <v>83.63636363636364</v>
      </c>
      <c r="J24" s="72"/>
      <c r="K24" s="71">
        <v>1</v>
      </c>
      <c r="L24" s="71">
        <v>1</v>
      </c>
      <c r="M24" s="71">
        <v>1</v>
      </c>
      <c r="N24" s="13"/>
      <c r="O24" s="13">
        <v>2.0699999999999998E-3</v>
      </c>
      <c r="P24" s="103">
        <f t="shared" si="2"/>
        <v>0.17312727272727271</v>
      </c>
      <c r="Q24" s="104"/>
    </row>
    <row r="25" spans="1:17" ht="20.25" customHeight="1" x14ac:dyDescent="0.3">
      <c r="A25">
        <v>24</v>
      </c>
      <c r="B25" s="88">
        <v>10</v>
      </c>
      <c r="C25" s="105" t="s">
        <v>135</v>
      </c>
      <c r="D25" s="68">
        <v>2</v>
      </c>
      <c r="E25" s="81" t="s">
        <v>62</v>
      </c>
      <c r="F25" s="70">
        <v>88</v>
      </c>
      <c r="G25" s="71">
        <v>46</v>
      </c>
      <c r="H25" s="72">
        <f t="shared" si="3"/>
        <v>52.272727272727273</v>
      </c>
      <c r="I25" s="72">
        <f t="shared" si="4"/>
        <v>62.727272727272727</v>
      </c>
      <c r="J25" s="72"/>
      <c r="K25" s="71">
        <v>1</v>
      </c>
      <c r="L25" s="71">
        <v>1</v>
      </c>
      <c r="M25" s="71">
        <v>1</v>
      </c>
      <c r="N25" s="13"/>
      <c r="O25" s="13">
        <v>5.7759999999999999E-3</v>
      </c>
      <c r="P25" s="103">
        <f t="shared" si="2"/>
        <v>0.36231272727272729</v>
      </c>
      <c r="Q25" s="104"/>
    </row>
    <row r="26" spans="1:17" ht="20.25" customHeight="1" x14ac:dyDescent="0.3">
      <c r="A26">
        <v>25</v>
      </c>
      <c r="B26" s="88">
        <v>11</v>
      </c>
      <c r="C26" s="105" t="s">
        <v>138</v>
      </c>
      <c r="D26" s="68">
        <v>2</v>
      </c>
      <c r="E26" s="81" t="s">
        <v>72</v>
      </c>
      <c r="F26" s="70">
        <v>36</v>
      </c>
      <c r="G26" s="71">
        <v>46</v>
      </c>
      <c r="H26" s="72">
        <f t="shared" si="3"/>
        <v>127.77777777777777</v>
      </c>
      <c r="I26" s="72">
        <f t="shared" si="4"/>
        <v>153.33333333333331</v>
      </c>
      <c r="J26" s="72"/>
      <c r="K26" s="71">
        <v>1.5</v>
      </c>
      <c r="L26" s="71">
        <v>2</v>
      </c>
      <c r="M26" s="71">
        <v>2</v>
      </c>
      <c r="N26" s="13"/>
      <c r="O26" s="13">
        <v>1.9242424242424242E-4</v>
      </c>
      <c r="P26" s="103">
        <f t="shared" si="2"/>
        <v>2.9505050505050503E-2</v>
      </c>
      <c r="Q26" s="104"/>
    </row>
    <row r="27" spans="1:17" ht="20.25" customHeight="1" x14ac:dyDescent="0.3">
      <c r="A27">
        <v>26</v>
      </c>
      <c r="B27" s="90">
        <v>12</v>
      </c>
      <c r="C27" s="106" t="s">
        <v>133</v>
      </c>
      <c r="D27" s="87">
        <v>1</v>
      </c>
      <c r="E27" s="69" t="s">
        <v>52</v>
      </c>
      <c r="F27" s="70">
        <v>25</v>
      </c>
      <c r="G27" s="71">
        <v>46</v>
      </c>
      <c r="H27" s="72">
        <f t="shared" si="3"/>
        <v>184</v>
      </c>
      <c r="I27" s="72">
        <f t="shared" si="4"/>
        <v>220.8</v>
      </c>
      <c r="J27" s="72"/>
      <c r="K27" s="71">
        <v>2.5</v>
      </c>
      <c r="L27" s="71">
        <v>3</v>
      </c>
      <c r="M27" s="71">
        <v>3</v>
      </c>
      <c r="N27" s="13"/>
      <c r="O27" s="13">
        <v>1.1199999999999999E-3</v>
      </c>
      <c r="P27" s="103">
        <f t="shared" si="2"/>
        <v>0.24729599999999999</v>
      </c>
      <c r="Q27" s="104"/>
    </row>
    <row r="28" spans="1:17" ht="20.25" customHeight="1" x14ac:dyDescent="0.3">
      <c r="A28">
        <v>27</v>
      </c>
      <c r="B28" s="90">
        <v>13</v>
      </c>
      <c r="C28" s="106" t="s">
        <v>119</v>
      </c>
      <c r="D28" s="68">
        <v>2</v>
      </c>
      <c r="E28" s="81" t="s">
        <v>62</v>
      </c>
      <c r="F28" s="70">
        <v>32</v>
      </c>
      <c r="G28" s="71">
        <v>46</v>
      </c>
      <c r="H28" s="72">
        <f t="shared" si="3"/>
        <v>143.75</v>
      </c>
      <c r="I28" s="72">
        <f t="shared" si="4"/>
        <v>172.5</v>
      </c>
      <c r="J28" s="72"/>
      <c r="K28" s="71">
        <v>2</v>
      </c>
      <c r="L28" s="71">
        <v>2</v>
      </c>
      <c r="M28" s="71">
        <v>2</v>
      </c>
      <c r="N28" s="13"/>
      <c r="O28" s="13">
        <v>4.8333333333333328E-4</v>
      </c>
      <c r="P28" s="103">
        <f t="shared" si="2"/>
        <v>8.3374999999999991E-2</v>
      </c>
      <c r="Q28" s="104"/>
    </row>
    <row r="29" spans="1:17" ht="20.25" customHeight="1" x14ac:dyDescent="0.3">
      <c r="A29">
        <v>28</v>
      </c>
      <c r="B29" s="64" t="s">
        <v>182</v>
      </c>
      <c r="C29" s="64" t="s">
        <v>82</v>
      </c>
      <c r="D29" s="65" t="s">
        <v>159</v>
      </c>
      <c r="E29" s="65" t="s">
        <v>160</v>
      </c>
      <c r="F29" s="65" t="s">
        <v>161</v>
      </c>
      <c r="G29" s="71"/>
      <c r="H29" s="72"/>
      <c r="I29" s="72"/>
      <c r="J29" s="72"/>
      <c r="K29" s="71"/>
      <c r="L29" s="71"/>
      <c r="M29" s="71"/>
      <c r="N29" s="13"/>
      <c r="O29" s="13"/>
      <c r="P29" s="103"/>
      <c r="Q29" s="104"/>
    </row>
    <row r="30" spans="1:17" ht="20.25" customHeight="1" x14ac:dyDescent="0.3">
      <c r="A30">
        <v>29</v>
      </c>
      <c r="B30" s="91">
        <v>1</v>
      </c>
      <c r="C30" s="67" t="s">
        <v>168</v>
      </c>
      <c r="D30" s="68">
        <v>2</v>
      </c>
      <c r="E30" s="69" t="s">
        <v>62</v>
      </c>
      <c r="F30" s="70">
        <v>96</v>
      </c>
      <c r="G30" s="71"/>
      <c r="H30" s="72"/>
      <c r="I30" s="72"/>
      <c r="J30" s="72"/>
      <c r="K30" s="71"/>
      <c r="L30" s="71"/>
      <c r="M30" s="71"/>
      <c r="N30" s="13"/>
      <c r="O30" s="13"/>
      <c r="P30" s="103"/>
      <c r="Q30" s="104"/>
    </row>
    <row r="31" spans="1:17" ht="20.25" customHeight="1" x14ac:dyDescent="0.3">
      <c r="A31">
        <v>30</v>
      </c>
      <c r="B31" s="91">
        <v>2</v>
      </c>
      <c r="C31" s="67" t="s">
        <v>137</v>
      </c>
      <c r="D31" s="92" t="s">
        <v>182</v>
      </c>
      <c r="E31" s="76"/>
      <c r="F31" s="70">
        <v>80</v>
      </c>
      <c r="G31" s="71">
        <v>46</v>
      </c>
      <c r="H31" s="72">
        <f t="shared" ref="H31:H39" si="5">G31*100/F31</f>
        <v>57.5</v>
      </c>
      <c r="I31" s="72">
        <f t="shared" ref="I31:I39" si="6">H31+(20/100*H31)</f>
        <v>69</v>
      </c>
      <c r="J31" s="72"/>
      <c r="K31" s="71">
        <v>1</v>
      </c>
      <c r="L31" s="71">
        <v>1</v>
      </c>
      <c r="M31" s="71">
        <v>1</v>
      </c>
      <c r="N31" s="13"/>
      <c r="O31" s="13"/>
      <c r="P31" s="103"/>
      <c r="Q31" s="104"/>
    </row>
    <row r="32" spans="1:17" ht="20.25" customHeight="1" x14ac:dyDescent="0.3">
      <c r="A32">
        <v>31</v>
      </c>
      <c r="B32" s="91">
        <v>3</v>
      </c>
      <c r="C32" s="67" t="s">
        <v>131</v>
      </c>
      <c r="D32" s="92" t="s">
        <v>182</v>
      </c>
      <c r="E32" s="76"/>
      <c r="F32" s="70">
        <v>33</v>
      </c>
      <c r="G32" s="71">
        <v>46</v>
      </c>
      <c r="H32" s="72">
        <f t="shared" si="5"/>
        <v>139.39393939393941</v>
      </c>
      <c r="I32" s="72">
        <f t="shared" si="6"/>
        <v>167.27272727272728</v>
      </c>
      <c r="J32" s="72"/>
      <c r="K32" s="71">
        <v>2</v>
      </c>
      <c r="L32" s="71">
        <v>2</v>
      </c>
      <c r="M32" s="71">
        <v>2</v>
      </c>
      <c r="N32" s="13"/>
      <c r="O32" s="13"/>
      <c r="P32" s="103"/>
      <c r="Q32" s="104"/>
    </row>
    <row r="33" spans="1:17" ht="20.25" customHeight="1" x14ac:dyDescent="0.3">
      <c r="A33">
        <v>32</v>
      </c>
      <c r="B33" s="93">
        <v>4</v>
      </c>
      <c r="C33" s="67" t="s">
        <v>114</v>
      </c>
      <c r="D33" s="94" t="s">
        <v>169</v>
      </c>
      <c r="E33" s="76"/>
      <c r="F33" s="70">
        <v>100</v>
      </c>
      <c r="G33" s="71">
        <v>46</v>
      </c>
      <c r="H33" s="72">
        <f t="shared" si="5"/>
        <v>46</v>
      </c>
      <c r="I33" s="72">
        <f t="shared" si="6"/>
        <v>55.2</v>
      </c>
      <c r="J33" s="72"/>
      <c r="K33" s="71">
        <v>1</v>
      </c>
      <c r="L33" s="71">
        <v>1</v>
      </c>
      <c r="M33" s="71">
        <v>1</v>
      </c>
      <c r="N33" s="13"/>
      <c r="O33" s="13"/>
      <c r="P33" s="103"/>
      <c r="Q33" s="104"/>
    </row>
    <row r="34" spans="1:17" ht="20.25" customHeight="1" x14ac:dyDescent="0.3">
      <c r="A34">
        <v>33</v>
      </c>
      <c r="B34" s="91">
        <v>5</v>
      </c>
      <c r="C34" s="67" t="s">
        <v>116</v>
      </c>
      <c r="D34" s="94" t="s">
        <v>169</v>
      </c>
      <c r="E34" s="76"/>
      <c r="F34" s="70">
        <v>30</v>
      </c>
      <c r="G34" s="71">
        <v>46</v>
      </c>
      <c r="H34" s="72">
        <f t="shared" si="5"/>
        <v>153.33333333333334</v>
      </c>
      <c r="I34" s="72">
        <f t="shared" si="6"/>
        <v>184</v>
      </c>
      <c r="J34" s="72"/>
      <c r="K34" s="71">
        <v>2</v>
      </c>
      <c r="L34" s="71">
        <v>2</v>
      </c>
      <c r="M34" s="71">
        <v>2</v>
      </c>
      <c r="N34" s="13"/>
      <c r="O34" s="13"/>
      <c r="P34" s="103"/>
      <c r="Q34" s="104"/>
    </row>
    <row r="35" spans="1:17" ht="20.25" customHeight="1" x14ac:dyDescent="0.3">
      <c r="A35">
        <v>34</v>
      </c>
      <c r="B35" s="91">
        <v>6</v>
      </c>
      <c r="C35" s="67" t="s">
        <v>124</v>
      </c>
      <c r="D35" s="84" t="s">
        <v>175</v>
      </c>
      <c r="E35" s="81" t="s">
        <v>78</v>
      </c>
      <c r="F35" s="70">
        <v>20</v>
      </c>
      <c r="G35" s="71">
        <v>46</v>
      </c>
      <c r="H35" s="72">
        <f t="shared" si="5"/>
        <v>230</v>
      </c>
      <c r="I35" s="72">
        <f t="shared" si="6"/>
        <v>276</v>
      </c>
      <c r="J35" s="72"/>
      <c r="K35" s="71">
        <v>2.75</v>
      </c>
      <c r="L35" s="71">
        <v>3</v>
      </c>
      <c r="M35" s="71">
        <v>3</v>
      </c>
      <c r="N35" s="13" t="s">
        <v>146</v>
      </c>
      <c r="O35" s="13">
        <v>2.1714285714285715E-3</v>
      </c>
      <c r="P35" s="103">
        <f t="shared" si="2"/>
        <v>0.5993142857142858</v>
      </c>
      <c r="Q35" s="104"/>
    </row>
    <row r="36" spans="1:17" ht="20.25" customHeight="1" x14ac:dyDescent="0.3">
      <c r="A36">
        <v>35</v>
      </c>
      <c r="B36" s="91">
        <v>7</v>
      </c>
      <c r="C36" s="105" t="s">
        <v>113</v>
      </c>
      <c r="D36" s="84" t="s">
        <v>175</v>
      </c>
      <c r="E36" s="81" t="s">
        <v>75</v>
      </c>
      <c r="F36" s="70">
        <v>85</v>
      </c>
      <c r="G36" s="71">
        <v>46</v>
      </c>
      <c r="H36" s="72">
        <f t="shared" si="5"/>
        <v>54.117647058823529</v>
      </c>
      <c r="I36" s="72">
        <f t="shared" si="6"/>
        <v>64.941176470588232</v>
      </c>
      <c r="J36" s="72"/>
      <c r="K36" s="71">
        <v>1</v>
      </c>
      <c r="L36" s="71">
        <v>1</v>
      </c>
      <c r="M36" s="71">
        <v>1</v>
      </c>
      <c r="N36" s="13"/>
      <c r="O36" s="13">
        <v>4.4000000000000002E-4</v>
      </c>
      <c r="P36" s="103">
        <f t="shared" si="2"/>
        <v>2.8574117647058823E-2</v>
      </c>
      <c r="Q36" s="104"/>
    </row>
    <row r="37" spans="1:17" ht="20.25" customHeight="1" x14ac:dyDescent="0.3">
      <c r="A37">
        <v>36</v>
      </c>
      <c r="B37" s="91">
        <v>8</v>
      </c>
      <c r="C37" s="64" t="s">
        <v>125</v>
      </c>
      <c r="D37" s="68">
        <v>2</v>
      </c>
      <c r="E37" s="81" t="s">
        <v>76</v>
      </c>
      <c r="F37" s="70">
        <v>51</v>
      </c>
      <c r="G37" s="71">
        <v>46</v>
      </c>
      <c r="H37" s="72">
        <f t="shared" si="5"/>
        <v>90.196078431372555</v>
      </c>
      <c r="I37" s="72">
        <f t="shared" si="6"/>
        <v>108.23529411764707</v>
      </c>
      <c r="J37" s="72"/>
      <c r="K37" s="71">
        <v>1.25</v>
      </c>
      <c r="L37" s="71">
        <v>2</v>
      </c>
      <c r="M37" s="71">
        <v>2</v>
      </c>
      <c r="N37" s="13"/>
      <c r="O37" s="13">
        <v>6.6166666666666665E-3</v>
      </c>
      <c r="P37" s="103">
        <f t="shared" si="2"/>
        <v>0.71615686274509816</v>
      </c>
      <c r="Q37" s="104"/>
    </row>
    <row r="38" spans="1:17" ht="20.25" customHeight="1" x14ac:dyDescent="0.3">
      <c r="A38">
        <v>37</v>
      </c>
      <c r="B38" s="91">
        <v>9</v>
      </c>
      <c r="C38" s="105" t="s">
        <v>189</v>
      </c>
      <c r="D38" s="68">
        <v>2</v>
      </c>
      <c r="E38" s="81" t="s">
        <v>62</v>
      </c>
      <c r="F38" s="70">
        <v>48</v>
      </c>
      <c r="G38" s="71">
        <v>46</v>
      </c>
      <c r="H38" s="72">
        <f t="shared" si="5"/>
        <v>95.833333333333329</v>
      </c>
      <c r="I38" s="72">
        <f t="shared" si="6"/>
        <v>115</v>
      </c>
      <c r="J38" s="72"/>
      <c r="K38" s="71">
        <v>1.25</v>
      </c>
      <c r="L38" s="71">
        <v>2</v>
      </c>
      <c r="M38" s="71">
        <v>2</v>
      </c>
      <c r="N38" s="13"/>
      <c r="O38" s="13">
        <v>4.13E-3</v>
      </c>
      <c r="P38" s="103">
        <f t="shared" si="2"/>
        <v>0.47494999999999998</v>
      </c>
      <c r="Q38" s="104"/>
    </row>
    <row r="39" spans="1:17" ht="20.25" customHeight="1" x14ac:dyDescent="0.3">
      <c r="A39">
        <v>38</v>
      </c>
      <c r="B39" s="91">
        <v>10</v>
      </c>
      <c r="C39" s="105" t="s">
        <v>139</v>
      </c>
      <c r="D39" s="68">
        <v>2</v>
      </c>
      <c r="E39" s="81" t="s">
        <v>72</v>
      </c>
      <c r="F39" s="70">
        <v>45</v>
      </c>
      <c r="G39" s="71">
        <v>46</v>
      </c>
      <c r="H39" s="72">
        <f t="shared" si="5"/>
        <v>102.22222222222223</v>
      </c>
      <c r="I39" s="72">
        <f t="shared" si="6"/>
        <v>122.66666666666667</v>
      </c>
      <c r="J39" s="72"/>
      <c r="K39" s="71">
        <v>1.5</v>
      </c>
      <c r="L39" s="71">
        <v>2</v>
      </c>
      <c r="M39" s="71">
        <v>2</v>
      </c>
      <c r="N39" s="13"/>
      <c r="O39" s="13">
        <v>3.1E-4</v>
      </c>
      <c r="P39" s="103">
        <f t="shared" si="2"/>
        <v>3.8026666666666667E-2</v>
      </c>
      <c r="Q39" s="104"/>
    </row>
    <row r="40" spans="1:17" ht="20.25" customHeight="1" x14ac:dyDescent="0.3">
      <c r="A40">
        <v>39</v>
      </c>
      <c r="B40" s="91">
        <v>11</v>
      </c>
      <c r="C40" s="67" t="s">
        <v>109</v>
      </c>
      <c r="D40" s="85">
        <v>3</v>
      </c>
      <c r="E40" s="81" t="s">
        <v>183</v>
      </c>
      <c r="F40" s="89"/>
      <c r="G40" s="71"/>
      <c r="H40" s="72" t="s">
        <v>130</v>
      </c>
      <c r="I40" s="72" t="s">
        <v>130</v>
      </c>
      <c r="J40" s="72"/>
      <c r="K40" s="95">
        <v>2</v>
      </c>
      <c r="L40" s="71">
        <v>2</v>
      </c>
      <c r="M40" s="71">
        <v>2</v>
      </c>
      <c r="N40" s="13" t="s">
        <v>146</v>
      </c>
      <c r="O40" s="13">
        <v>3.5284999999999997E-2</v>
      </c>
      <c r="P40" s="103"/>
      <c r="Q40" s="104"/>
    </row>
    <row r="41" spans="1:17" ht="20.25" customHeight="1" x14ac:dyDescent="0.3">
      <c r="A41">
        <v>40</v>
      </c>
      <c r="B41" s="96">
        <v>12</v>
      </c>
      <c r="C41" s="106" t="s">
        <v>123</v>
      </c>
      <c r="D41" s="68">
        <v>2</v>
      </c>
      <c r="E41" s="81" t="s">
        <v>62</v>
      </c>
      <c r="F41" s="70">
        <v>78</v>
      </c>
      <c r="G41" s="71">
        <v>46</v>
      </c>
      <c r="H41" s="72">
        <f>G41*100/F41</f>
        <v>58.974358974358971</v>
      </c>
      <c r="I41" s="72">
        <f>H41+(20/100*H41)</f>
        <v>70.769230769230774</v>
      </c>
      <c r="J41" s="72"/>
      <c r="K41" s="71">
        <v>1</v>
      </c>
      <c r="L41" s="71">
        <v>1</v>
      </c>
      <c r="M41" s="71">
        <v>1</v>
      </c>
      <c r="N41" s="13"/>
      <c r="O41" s="13">
        <v>5.4545454545454548E-4</v>
      </c>
      <c r="P41" s="103">
        <f t="shared" si="2"/>
        <v>3.8601398601398607E-2</v>
      </c>
      <c r="Q41" s="104"/>
    </row>
    <row r="42" spans="1:17" ht="20.25" customHeight="1" x14ac:dyDescent="0.3">
      <c r="A42">
        <v>41</v>
      </c>
      <c r="B42" s="96">
        <v>13</v>
      </c>
      <c r="C42" s="106" t="s">
        <v>136</v>
      </c>
      <c r="D42" s="97">
        <v>2</v>
      </c>
      <c r="E42" s="81" t="s">
        <v>62</v>
      </c>
      <c r="F42" s="70">
        <v>32</v>
      </c>
      <c r="G42" s="71">
        <v>46</v>
      </c>
      <c r="H42" s="72">
        <f>G42*100/F42</f>
        <v>143.75</v>
      </c>
      <c r="I42" s="72">
        <f>H42+(20/100*H42)</f>
        <v>172.5</v>
      </c>
      <c r="J42" s="72"/>
      <c r="K42" s="71">
        <v>2.5</v>
      </c>
      <c r="L42" s="71">
        <v>2</v>
      </c>
      <c r="M42" s="71">
        <v>2</v>
      </c>
      <c r="N42" s="13"/>
      <c r="O42" s="13">
        <v>1.7666666666666666E-3</v>
      </c>
      <c r="P42" s="103">
        <f t="shared" si="2"/>
        <v>0.30474999999999997</v>
      </c>
      <c r="Q42" s="104"/>
    </row>
    <row r="44" spans="1:17" x14ac:dyDescent="0.3">
      <c r="C44" s="99" t="s">
        <v>80</v>
      </c>
      <c r="K44" s="100">
        <f>SUM(K2:K42)</f>
        <v>50.25</v>
      </c>
    </row>
  </sheetData>
  <autoFilter ref="A1:P1" xr:uid="{85683E41-3C95-4815-A5E7-2A22C21DCA51}"/>
  <pageMargins left="0.7" right="0.7" top="0.75" bottom="0.75" header="0.3" footer="0.3"/>
  <pageSetup paperSize="9" scale="45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755A5-F19F-4739-9486-9FE9F2FD7131}">
  <dimension ref="A1:I40"/>
  <sheetViews>
    <sheetView zoomScale="70" zoomScaleNormal="70" workbookViewId="0">
      <selection activeCell="I34" sqref="I34"/>
    </sheetView>
  </sheetViews>
  <sheetFormatPr defaultRowHeight="14.4" x14ac:dyDescent="0.3"/>
  <cols>
    <col min="2" max="2" width="32" style="3" customWidth="1"/>
    <col min="3" max="3" width="20.33203125" style="3" customWidth="1"/>
    <col min="4" max="4" width="13.109375" style="3" customWidth="1"/>
    <col min="5" max="5" width="14.109375" style="3" customWidth="1"/>
    <col min="6" max="6" width="13.33203125" style="3" customWidth="1"/>
    <col min="7" max="7" width="8" style="3" customWidth="1"/>
    <col min="8" max="8" width="15.5546875" style="3" customWidth="1"/>
    <col min="9" max="9" width="17.109375" style="3" customWidth="1"/>
  </cols>
  <sheetData>
    <row r="1" spans="1:9" x14ac:dyDescent="0.3">
      <c r="B1" s="3" t="s">
        <v>40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46</v>
      </c>
      <c r="H1" s="3" t="s">
        <v>47</v>
      </c>
      <c r="I1" s="3" t="s">
        <v>48</v>
      </c>
    </row>
    <row r="2" spans="1:9" x14ac:dyDescent="0.3">
      <c r="A2">
        <v>1</v>
      </c>
      <c r="B2" s="7" t="s">
        <v>6</v>
      </c>
      <c r="C2" s="5">
        <v>12.4405063291139</v>
      </c>
      <c r="D2" s="3">
        <v>0.90912770184541902</v>
      </c>
      <c r="E2" s="4">
        <v>11.1291139240506</v>
      </c>
      <c r="F2" s="4">
        <v>13.7518987341772</v>
      </c>
      <c r="G2" s="3">
        <v>5</v>
      </c>
      <c r="H2" s="3" t="s">
        <v>49</v>
      </c>
      <c r="I2" s="3" t="s">
        <v>50</v>
      </c>
    </row>
    <row r="3" spans="1:9" x14ac:dyDescent="0.3">
      <c r="A3">
        <v>2</v>
      </c>
      <c r="B3" s="7" t="s">
        <v>33</v>
      </c>
      <c r="C3" s="5">
        <v>13.1139240506329</v>
      </c>
      <c r="D3" s="3">
        <v>1.1072185809217101</v>
      </c>
      <c r="E3" s="4">
        <v>11.459915611814299</v>
      </c>
      <c r="F3" s="4">
        <v>14.7679324894515</v>
      </c>
      <c r="G3" s="3">
        <v>3</v>
      </c>
      <c r="H3" s="3" t="s">
        <v>49</v>
      </c>
      <c r="I3" s="3" t="s">
        <v>51</v>
      </c>
    </row>
    <row r="4" spans="1:9" x14ac:dyDescent="0.3">
      <c r="A4">
        <v>3</v>
      </c>
      <c r="B4" s="7" t="s">
        <v>21</v>
      </c>
      <c r="C4" s="5">
        <v>13.2616033755274</v>
      </c>
      <c r="D4" s="3">
        <v>1.26080550351848</v>
      </c>
      <c r="E4" s="4">
        <v>11.3417721518987</v>
      </c>
      <c r="F4" s="4">
        <v>15.1814345991561</v>
      </c>
      <c r="G4" s="3">
        <v>6</v>
      </c>
      <c r="H4" s="3" t="s">
        <v>55</v>
      </c>
      <c r="I4" s="3" t="s">
        <v>56</v>
      </c>
    </row>
    <row r="5" spans="1:9" x14ac:dyDescent="0.3">
      <c r="A5">
        <v>4</v>
      </c>
      <c r="B5" s="7" t="s">
        <v>15</v>
      </c>
      <c r="C5" s="5">
        <v>13.3565400843882</v>
      </c>
      <c r="D5" s="3">
        <v>1.0756796197045799</v>
      </c>
      <c r="E5" s="4">
        <v>11.7383966244726</v>
      </c>
      <c r="F5" s="4">
        <v>14.974683544303801</v>
      </c>
      <c r="G5" s="3">
        <v>6</v>
      </c>
      <c r="H5" s="3" t="s">
        <v>49</v>
      </c>
      <c r="I5" s="3" t="s">
        <v>51</v>
      </c>
    </row>
    <row r="6" spans="1:9" x14ac:dyDescent="0.3">
      <c r="A6">
        <v>5</v>
      </c>
      <c r="B6" s="7" t="s">
        <v>29</v>
      </c>
      <c r="C6" s="5">
        <v>14.177215189873399</v>
      </c>
      <c r="D6" s="3">
        <v>1.38029309618853</v>
      </c>
      <c r="E6" s="4">
        <v>12.0506329113924</v>
      </c>
      <c r="F6" s="4">
        <v>16.3037974683544</v>
      </c>
      <c r="G6" s="3">
        <v>8</v>
      </c>
      <c r="H6" s="3" t="s">
        <v>49</v>
      </c>
      <c r="I6" s="3" t="s">
        <v>52</v>
      </c>
    </row>
    <row r="7" spans="1:9" x14ac:dyDescent="0.3">
      <c r="A7">
        <v>6</v>
      </c>
      <c r="B7" s="7" t="s">
        <v>7</v>
      </c>
      <c r="C7" s="5">
        <v>14.236286919831199</v>
      </c>
      <c r="D7" s="3">
        <v>1.51680093369847</v>
      </c>
      <c r="E7" s="4">
        <v>11.873417721519001</v>
      </c>
      <c r="F7" s="4">
        <v>16.599156118143501</v>
      </c>
      <c r="G7" s="3">
        <v>6</v>
      </c>
      <c r="H7" s="3" t="s">
        <v>49</v>
      </c>
      <c r="I7" s="3" t="s">
        <v>59</v>
      </c>
    </row>
    <row r="8" spans="1:9" x14ac:dyDescent="0.3">
      <c r="A8">
        <v>7</v>
      </c>
      <c r="B8" s="7" t="s">
        <v>34</v>
      </c>
      <c r="C8" s="5">
        <v>14.2658227848101</v>
      </c>
      <c r="D8" s="3">
        <v>1.43149571790286</v>
      </c>
      <c r="E8" s="4">
        <v>12.0506329113924</v>
      </c>
      <c r="F8" s="4">
        <v>16.481012658227801</v>
      </c>
      <c r="G8" s="3">
        <v>4</v>
      </c>
      <c r="H8" s="3" t="s">
        <v>53</v>
      </c>
      <c r="I8" s="3" t="s">
        <v>54</v>
      </c>
    </row>
    <row r="9" spans="1:9" x14ac:dyDescent="0.3">
      <c r="A9">
        <v>8</v>
      </c>
      <c r="B9" s="7" t="s">
        <v>32</v>
      </c>
      <c r="C9" s="5">
        <v>15.0632911392405</v>
      </c>
      <c r="D9" s="3">
        <v>1.6251515967172601</v>
      </c>
      <c r="E9" s="4">
        <v>12.5316455696203</v>
      </c>
      <c r="F9" s="4">
        <v>17.5949367088608</v>
      </c>
      <c r="G9" s="3">
        <v>6</v>
      </c>
      <c r="H9" s="3" t="s">
        <v>49</v>
      </c>
      <c r="I9" s="3" t="s">
        <v>51</v>
      </c>
    </row>
    <row r="10" spans="1:9" x14ac:dyDescent="0.3">
      <c r="A10">
        <v>9</v>
      </c>
      <c r="B10" s="7" t="s">
        <v>16</v>
      </c>
      <c r="C10" s="5">
        <v>15.5590717299578</v>
      </c>
      <c r="D10" s="3">
        <v>1.3894392597495699</v>
      </c>
      <c r="E10" s="4">
        <v>13.4135021097046</v>
      </c>
      <c r="F10" s="4">
        <v>17.704641350210998</v>
      </c>
      <c r="G10" s="3">
        <v>6</v>
      </c>
      <c r="H10" s="3" t="s">
        <v>57</v>
      </c>
      <c r="I10" s="3" t="s">
        <v>58</v>
      </c>
    </row>
    <row r="11" spans="1:9" x14ac:dyDescent="0.3">
      <c r="A11">
        <v>10</v>
      </c>
      <c r="B11" s="7" t="s">
        <v>38</v>
      </c>
      <c r="C11" s="5">
        <v>15.8164556962025</v>
      </c>
      <c r="D11" s="3">
        <v>0.775701495117744</v>
      </c>
      <c r="E11" s="4">
        <v>14.6329113924051</v>
      </c>
      <c r="F11" s="4">
        <v>17</v>
      </c>
      <c r="G11" s="3">
        <v>3</v>
      </c>
      <c r="H11" s="3" t="s">
        <v>63</v>
      </c>
      <c r="I11" s="3" t="s">
        <v>64</v>
      </c>
    </row>
    <row r="12" spans="1:9" x14ac:dyDescent="0.3">
      <c r="A12">
        <v>11</v>
      </c>
      <c r="B12" s="7" t="s">
        <v>14</v>
      </c>
      <c r="C12" s="5">
        <v>15.9493670886076</v>
      </c>
      <c r="D12" s="3">
        <v>1.2594676534750699</v>
      </c>
      <c r="E12" s="4">
        <v>14.0506329113924</v>
      </c>
      <c r="F12" s="4">
        <v>17.848101265822802</v>
      </c>
      <c r="G12" s="3">
        <v>5</v>
      </c>
      <c r="H12" s="3" t="s">
        <v>49</v>
      </c>
      <c r="I12" s="3" t="s">
        <v>60</v>
      </c>
    </row>
    <row r="13" spans="1:9" x14ac:dyDescent="0.3">
      <c r="A13">
        <v>12</v>
      </c>
      <c r="B13" s="54" t="s">
        <v>37</v>
      </c>
      <c r="C13" s="5">
        <v>16.569620253164601</v>
      </c>
      <c r="D13" s="3">
        <v>0.34024506470166099</v>
      </c>
      <c r="E13" s="6">
        <v>16.139240506329099</v>
      </c>
      <c r="F13" s="8">
        <v>17</v>
      </c>
      <c r="G13" s="3">
        <v>4</v>
      </c>
      <c r="H13" s="3" t="s">
        <v>63</v>
      </c>
      <c r="I13" s="3" t="s">
        <v>68</v>
      </c>
    </row>
    <row r="14" spans="1:9" x14ac:dyDescent="0.3">
      <c r="A14">
        <v>13</v>
      </c>
      <c r="B14" s="7" t="s">
        <v>30</v>
      </c>
      <c r="C14" s="5">
        <v>16.835443037974699</v>
      </c>
      <c r="D14" s="3">
        <v>2.3015243573239998</v>
      </c>
      <c r="E14" s="4">
        <v>13.1139240506329</v>
      </c>
      <c r="F14" s="4">
        <v>20.556962025316501</v>
      </c>
      <c r="G14" s="3">
        <v>1</v>
      </c>
      <c r="H14" s="3" t="s">
        <v>57</v>
      </c>
      <c r="I14" s="3" t="s">
        <v>70</v>
      </c>
    </row>
    <row r="15" spans="1:9" x14ac:dyDescent="0.3">
      <c r="A15">
        <v>14</v>
      </c>
      <c r="B15" s="7" t="s">
        <v>10</v>
      </c>
      <c r="C15" s="59">
        <v>17.056962025316501</v>
      </c>
      <c r="D15" s="3">
        <v>1.60686810668849</v>
      </c>
      <c r="E15" s="4">
        <v>14.5569620253165</v>
      </c>
      <c r="F15" s="4">
        <v>19.556962025316501</v>
      </c>
      <c r="G15" s="3">
        <v>6</v>
      </c>
      <c r="H15" s="3" t="s">
        <v>49</v>
      </c>
      <c r="I15" s="3" t="s">
        <v>66</v>
      </c>
    </row>
    <row r="16" spans="1:9" x14ac:dyDescent="0.3">
      <c r="A16">
        <v>15</v>
      </c>
      <c r="B16" s="7" t="s">
        <v>18</v>
      </c>
      <c r="C16" s="59">
        <v>17.1139240506329</v>
      </c>
      <c r="D16" s="3">
        <v>1.4799745013821199</v>
      </c>
      <c r="E16" s="4">
        <v>14.852320675105499</v>
      </c>
      <c r="F16" s="4">
        <v>19.3755274261603</v>
      </c>
      <c r="G16" s="3">
        <v>6</v>
      </c>
      <c r="H16" s="3" t="s">
        <v>49</v>
      </c>
      <c r="I16" s="3" t="s">
        <v>51</v>
      </c>
    </row>
    <row r="17" spans="1:9" x14ac:dyDescent="0.3">
      <c r="A17">
        <v>16</v>
      </c>
      <c r="B17" s="7" t="s">
        <v>27</v>
      </c>
      <c r="C17" s="59">
        <v>17.120253164556999</v>
      </c>
      <c r="D17" s="3">
        <v>1.78966295930103</v>
      </c>
      <c r="E17" s="4">
        <v>14.3037974683544</v>
      </c>
      <c r="F17" s="4">
        <v>19.936708860759499</v>
      </c>
      <c r="G17" s="3">
        <v>6</v>
      </c>
      <c r="H17" s="3" t="s">
        <v>57</v>
      </c>
      <c r="I17" s="3" t="s">
        <v>65</v>
      </c>
    </row>
    <row r="18" spans="1:9" x14ac:dyDescent="0.3">
      <c r="A18">
        <v>17</v>
      </c>
      <c r="B18" s="7" t="s">
        <v>3</v>
      </c>
      <c r="C18" s="59">
        <v>17.4050632911392</v>
      </c>
      <c r="D18" s="3">
        <v>1.44232473479431</v>
      </c>
      <c r="E18" s="6">
        <v>15.1898734177215</v>
      </c>
      <c r="F18" s="4">
        <v>19.620253164556999</v>
      </c>
      <c r="G18" s="3">
        <v>6</v>
      </c>
      <c r="H18" s="3" t="s">
        <v>49</v>
      </c>
      <c r="I18" s="3" t="s">
        <v>60</v>
      </c>
    </row>
    <row r="19" spans="1:9" x14ac:dyDescent="0.3">
      <c r="A19">
        <v>18</v>
      </c>
      <c r="B19" s="7" t="s">
        <v>19</v>
      </c>
      <c r="C19" s="59">
        <v>17.485232067510498</v>
      </c>
      <c r="D19" s="3">
        <v>1.4994826035817399</v>
      </c>
      <c r="E19" s="6">
        <v>15.1898734177215</v>
      </c>
      <c r="F19" s="4">
        <v>19.780590717299599</v>
      </c>
      <c r="G19" s="3">
        <v>6</v>
      </c>
      <c r="H19" s="3" t="s">
        <v>49</v>
      </c>
      <c r="I19" s="3" t="s">
        <v>66</v>
      </c>
    </row>
    <row r="20" spans="1:9" x14ac:dyDescent="0.3">
      <c r="A20">
        <v>19</v>
      </c>
      <c r="B20" s="7" t="s">
        <v>28</v>
      </c>
      <c r="C20" s="59">
        <v>17.7848101265823</v>
      </c>
      <c r="D20" s="3">
        <v>2.5755386362484201</v>
      </c>
      <c r="E20" s="4">
        <v>13.6075949367089</v>
      </c>
      <c r="F20" s="6">
        <v>21.962025316455701</v>
      </c>
      <c r="G20" s="3">
        <v>6</v>
      </c>
      <c r="H20" s="3" t="s">
        <v>61</v>
      </c>
      <c r="I20" s="3" t="s">
        <v>62</v>
      </c>
    </row>
    <row r="21" spans="1:9" x14ac:dyDescent="0.3">
      <c r="A21">
        <v>20</v>
      </c>
      <c r="B21" s="7" t="s">
        <v>8</v>
      </c>
      <c r="C21" s="59">
        <v>18.0063291139241</v>
      </c>
      <c r="D21" s="3">
        <v>1.82621635005549</v>
      </c>
      <c r="E21" s="6">
        <v>15.126582278480999</v>
      </c>
      <c r="F21" s="4">
        <v>20.8860759493671</v>
      </c>
      <c r="G21" s="3">
        <v>6</v>
      </c>
      <c r="H21" s="3" t="s">
        <v>61</v>
      </c>
      <c r="I21" s="3" t="s">
        <v>67</v>
      </c>
    </row>
    <row r="22" spans="1:9" x14ac:dyDescent="0.3">
      <c r="A22">
        <v>21</v>
      </c>
      <c r="B22" s="7" t="s">
        <v>9</v>
      </c>
      <c r="C22" s="59">
        <v>18.1962025316456</v>
      </c>
      <c r="D22" s="3">
        <v>2.30142682123723</v>
      </c>
      <c r="E22" s="4">
        <v>14.493670886076</v>
      </c>
      <c r="F22" s="6">
        <v>21.8987341772152</v>
      </c>
      <c r="G22" s="3">
        <v>6</v>
      </c>
      <c r="H22" s="3" t="s">
        <v>61</v>
      </c>
      <c r="I22" s="3" t="s">
        <v>62</v>
      </c>
    </row>
    <row r="23" spans="1:9" x14ac:dyDescent="0.3">
      <c r="A23">
        <v>22</v>
      </c>
      <c r="B23" s="7" t="s">
        <v>35</v>
      </c>
      <c r="C23" s="59">
        <v>18.5126582278481</v>
      </c>
      <c r="D23" s="3">
        <v>1.91784867576683</v>
      </c>
      <c r="E23" s="6">
        <v>15.427215189873399</v>
      </c>
      <c r="F23" s="6">
        <v>21.598101265822802</v>
      </c>
      <c r="G23" s="3">
        <v>4</v>
      </c>
      <c r="H23" s="3" t="s">
        <v>49</v>
      </c>
      <c r="I23" s="3" t="s">
        <v>69</v>
      </c>
    </row>
    <row r="24" spans="1:9" x14ac:dyDescent="0.3">
      <c r="A24">
        <v>23</v>
      </c>
      <c r="B24" s="7" t="s">
        <v>22</v>
      </c>
      <c r="C24" s="59">
        <v>18.924050632911399</v>
      </c>
      <c r="D24" s="3">
        <v>2.39280859260868</v>
      </c>
      <c r="E24" s="6">
        <v>15.0632911392405</v>
      </c>
      <c r="F24" s="6">
        <v>22.7848101265823</v>
      </c>
      <c r="G24" s="3">
        <v>6</v>
      </c>
      <c r="H24" s="3" t="s">
        <v>55</v>
      </c>
      <c r="I24" s="3" t="s">
        <v>71</v>
      </c>
    </row>
    <row r="25" spans="1:9" x14ac:dyDescent="0.3">
      <c r="A25">
        <v>24</v>
      </c>
      <c r="B25" s="7" t="s">
        <v>20</v>
      </c>
      <c r="C25" s="59">
        <v>19.530590717299599</v>
      </c>
      <c r="D25" s="3">
        <v>1.70404424235297</v>
      </c>
      <c r="E25" s="6">
        <v>16.909282700421901</v>
      </c>
      <c r="F25" s="6">
        <v>22.151898734177198</v>
      </c>
      <c r="G25" s="3">
        <v>6</v>
      </c>
      <c r="H25" s="3" t="s">
        <v>49</v>
      </c>
      <c r="I25" s="3" t="s">
        <v>50</v>
      </c>
    </row>
    <row r="26" spans="1:9" x14ac:dyDescent="0.3">
      <c r="A26">
        <v>25</v>
      </c>
      <c r="B26" s="7" t="s">
        <v>17</v>
      </c>
      <c r="C26" s="59">
        <v>19.615189873417702</v>
      </c>
      <c r="D26" s="3">
        <v>1.8519972589576901</v>
      </c>
      <c r="E26" s="6">
        <v>16.653164556962</v>
      </c>
      <c r="F26" s="6">
        <v>22.577215189873399</v>
      </c>
      <c r="G26" s="3">
        <v>5</v>
      </c>
      <c r="H26" s="3" t="s">
        <v>61</v>
      </c>
      <c r="I26" s="3" t="s">
        <v>72</v>
      </c>
    </row>
    <row r="27" spans="1:9" x14ac:dyDescent="0.3">
      <c r="A27">
        <v>26</v>
      </c>
      <c r="B27" s="54" t="s">
        <v>36</v>
      </c>
      <c r="C27" s="59">
        <v>19.873417721519001</v>
      </c>
      <c r="D27" s="3">
        <v>0.17901437498393499</v>
      </c>
      <c r="E27" s="5">
        <v>19.746835443038002</v>
      </c>
      <c r="F27" s="4">
        <v>20</v>
      </c>
      <c r="G27" s="3">
        <v>1</v>
      </c>
      <c r="H27" s="3" t="s">
        <v>49</v>
      </c>
      <c r="I27" s="3" t="s">
        <v>52</v>
      </c>
    </row>
    <row r="28" spans="1:9" x14ac:dyDescent="0.3">
      <c r="A28">
        <v>27</v>
      </c>
      <c r="B28" s="7" t="s">
        <v>12</v>
      </c>
      <c r="C28" s="59">
        <v>20</v>
      </c>
      <c r="D28" s="3">
        <v>2.61211583592979</v>
      </c>
      <c r="E28" s="6">
        <v>15.7594936708861</v>
      </c>
      <c r="F28" s="6">
        <v>24.240506329113899</v>
      </c>
      <c r="G28" s="3">
        <v>6</v>
      </c>
      <c r="H28" s="3" t="s">
        <v>61</v>
      </c>
      <c r="I28" s="3" t="s">
        <v>62</v>
      </c>
    </row>
    <row r="29" spans="1:9" x14ac:dyDescent="0.3">
      <c r="A29">
        <v>28</v>
      </c>
      <c r="B29" s="7" t="s">
        <v>31</v>
      </c>
      <c r="C29" s="59">
        <v>20.2088607594937</v>
      </c>
      <c r="D29" s="3">
        <v>2.8880195632199701</v>
      </c>
      <c r="E29" s="6">
        <v>15.5</v>
      </c>
      <c r="F29" s="6">
        <v>24.9177215189873</v>
      </c>
      <c r="G29" s="3">
        <v>6</v>
      </c>
      <c r="H29" s="3" t="s">
        <v>61</v>
      </c>
      <c r="I29" s="3" t="s">
        <v>62</v>
      </c>
    </row>
    <row r="30" spans="1:9" x14ac:dyDescent="0.3">
      <c r="A30">
        <v>29</v>
      </c>
      <c r="B30" s="7" t="s">
        <v>11</v>
      </c>
      <c r="C30" s="59">
        <v>20.780289330922201</v>
      </c>
      <c r="D30" s="3">
        <v>1.8861217625478299</v>
      </c>
      <c r="E30" s="6">
        <v>17.820976491862599</v>
      </c>
      <c r="F30" s="6">
        <v>23.7396021699819</v>
      </c>
      <c r="G30" s="3">
        <v>7</v>
      </c>
      <c r="H30" s="3" t="s">
        <v>61</v>
      </c>
      <c r="I30" s="3" t="s">
        <v>62</v>
      </c>
    </row>
    <row r="31" spans="1:9" x14ac:dyDescent="0.3">
      <c r="A31">
        <v>30</v>
      </c>
      <c r="B31" s="7" t="s">
        <v>26</v>
      </c>
      <c r="C31" s="58">
        <v>21.484177215189899</v>
      </c>
      <c r="D31" s="3">
        <v>2.9068915907937298</v>
      </c>
      <c r="E31" s="6">
        <v>16.742616033755301</v>
      </c>
      <c r="F31" s="6">
        <v>26.2257383966245</v>
      </c>
      <c r="G31" s="3">
        <v>6</v>
      </c>
      <c r="H31" s="3" t="s">
        <v>61</v>
      </c>
      <c r="I31" s="3" t="s">
        <v>62</v>
      </c>
    </row>
    <row r="32" spans="1:9" x14ac:dyDescent="0.3">
      <c r="A32">
        <v>31</v>
      </c>
      <c r="B32" s="7" t="s">
        <v>2</v>
      </c>
      <c r="C32" s="58">
        <v>21.805907172995799</v>
      </c>
      <c r="D32" s="3">
        <v>2.5461544806815399</v>
      </c>
      <c r="E32" s="6">
        <v>17.717299578059102</v>
      </c>
      <c r="F32" s="6">
        <v>25.894514767932499</v>
      </c>
      <c r="G32" s="3">
        <v>6</v>
      </c>
      <c r="H32" s="3" t="s">
        <v>61</v>
      </c>
      <c r="I32" s="3" t="s">
        <v>76</v>
      </c>
    </row>
    <row r="33" spans="1:9" x14ac:dyDescent="0.3">
      <c r="A33">
        <v>32</v>
      </c>
      <c r="B33" s="7" t="s">
        <v>4</v>
      </c>
      <c r="C33" s="58">
        <v>21.913502109704599</v>
      </c>
      <c r="D33" s="3">
        <v>2.5254458797788701</v>
      </c>
      <c r="E33" s="6">
        <v>17.860759493670901</v>
      </c>
      <c r="F33" s="6">
        <v>25.966244725738399</v>
      </c>
      <c r="G33" s="3">
        <v>6</v>
      </c>
      <c r="H33" s="3" t="s">
        <v>61</v>
      </c>
      <c r="I33" s="3" t="s">
        <v>72</v>
      </c>
    </row>
    <row r="34" spans="1:9" x14ac:dyDescent="0.3">
      <c r="A34">
        <v>33</v>
      </c>
      <c r="B34" s="7" t="s">
        <v>5</v>
      </c>
      <c r="C34" s="58">
        <v>22.6835443037975</v>
      </c>
      <c r="D34" s="3">
        <v>1.9673786235634501</v>
      </c>
      <c r="E34" s="5">
        <v>19.578059071729999</v>
      </c>
      <c r="F34" s="6">
        <v>25.789029535865001</v>
      </c>
      <c r="G34" s="3">
        <v>6</v>
      </c>
      <c r="H34" s="3" t="s">
        <v>61</v>
      </c>
      <c r="I34" s="3" t="s">
        <v>62</v>
      </c>
    </row>
    <row r="35" spans="1:9" x14ac:dyDescent="0.3">
      <c r="A35">
        <v>34</v>
      </c>
      <c r="B35" s="7" t="s">
        <v>1</v>
      </c>
      <c r="C35" s="58">
        <v>23.325949367088601</v>
      </c>
      <c r="D35" s="3">
        <v>2.18388076651495</v>
      </c>
      <c r="E35" s="5">
        <v>19.9113924050633</v>
      </c>
      <c r="F35" s="6">
        <v>26.740506329113899</v>
      </c>
      <c r="G35" s="3">
        <v>6</v>
      </c>
      <c r="H35" s="3" t="s">
        <v>57</v>
      </c>
      <c r="I35" s="3" t="s">
        <v>75</v>
      </c>
    </row>
    <row r="36" spans="1:9" x14ac:dyDescent="0.3">
      <c r="A36">
        <v>35</v>
      </c>
      <c r="B36" s="7" t="s">
        <v>23</v>
      </c>
      <c r="C36" s="58">
        <v>23.407172995780599</v>
      </c>
      <c r="D36" s="3">
        <v>2.3651470801386099</v>
      </c>
      <c r="E36" s="5">
        <v>19.641350210970501</v>
      </c>
      <c r="F36" s="5">
        <v>27.1729957805907</v>
      </c>
      <c r="G36" s="3">
        <v>6</v>
      </c>
      <c r="H36" s="3" t="s">
        <v>73</v>
      </c>
      <c r="I36" s="3" t="s">
        <v>74</v>
      </c>
    </row>
    <row r="37" spans="1:9" x14ac:dyDescent="0.3">
      <c r="A37">
        <v>36</v>
      </c>
      <c r="B37" s="7" t="s">
        <v>39</v>
      </c>
      <c r="C37" s="58">
        <v>24.506329113924</v>
      </c>
      <c r="D37" s="3">
        <v>2.1624462282595101</v>
      </c>
      <c r="E37" s="5">
        <v>21.063291139240501</v>
      </c>
      <c r="F37" s="5">
        <v>27.949367088607602</v>
      </c>
      <c r="G37" s="3">
        <v>1</v>
      </c>
      <c r="H37" s="3" t="s">
        <v>53</v>
      </c>
      <c r="I37" s="3" t="s">
        <v>79</v>
      </c>
    </row>
    <row r="38" spans="1:9" x14ac:dyDescent="0.3">
      <c r="A38">
        <v>37</v>
      </c>
      <c r="B38" s="7" t="s">
        <v>24</v>
      </c>
      <c r="C38" s="58">
        <v>25.163502109704599</v>
      </c>
      <c r="D38" s="3">
        <v>1.87800288639228</v>
      </c>
      <c r="E38" s="5">
        <v>22.194092827004201</v>
      </c>
      <c r="F38" s="5">
        <v>28.132911392405099</v>
      </c>
      <c r="G38" s="3">
        <v>6</v>
      </c>
      <c r="H38" s="3" t="s">
        <v>73</v>
      </c>
      <c r="I38" s="3" t="s">
        <v>77</v>
      </c>
    </row>
    <row r="39" spans="1:9" x14ac:dyDescent="0.3">
      <c r="A39">
        <v>38</v>
      </c>
      <c r="B39" s="7" t="s">
        <v>13</v>
      </c>
      <c r="C39" s="58">
        <v>25.1873417721519</v>
      </c>
      <c r="D39" s="3">
        <v>1.5630984821274101</v>
      </c>
      <c r="E39" s="5">
        <v>22.744303797468401</v>
      </c>
      <c r="F39" s="5">
        <v>27.630379746835398</v>
      </c>
      <c r="G39" s="3">
        <v>5</v>
      </c>
      <c r="H39" s="3" t="s">
        <v>57</v>
      </c>
      <c r="I39" s="3" t="s">
        <v>78</v>
      </c>
    </row>
    <row r="40" spans="1:9" x14ac:dyDescent="0.3">
      <c r="A40">
        <v>39</v>
      </c>
      <c r="B40" s="7" t="s">
        <v>25</v>
      </c>
      <c r="C40" s="58">
        <v>30.854430379746798</v>
      </c>
      <c r="D40" s="3">
        <v>3.3482189978409602</v>
      </c>
      <c r="E40" s="5">
        <v>25.424050632911399</v>
      </c>
      <c r="F40" s="5">
        <v>36.2848101265823</v>
      </c>
      <c r="G40" s="3">
        <v>6</v>
      </c>
      <c r="H40" s="3" t="s">
        <v>61</v>
      </c>
      <c r="I40" s="3" t="s">
        <v>62</v>
      </c>
    </row>
  </sheetData>
  <autoFilter ref="A1:I40" xr:uid="{DAFE393E-EE67-4EA2-866F-0BF326F18ECC}">
    <sortState xmlns:xlrd2="http://schemas.microsoft.com/office/spreadsheetml/2017/richdata2" ref="A2:I40">
      <sortCondition ref="C1:C40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B36BD-88D6-45A6-A742-3D307212591A}">
  <dimension ref="A1:I41"/>
  <sheetViews>
    <sheetView zoomScale="60" zoomScaleNormal="60" workbookViewId="0">
      <selection activeCell="V32" sqref="V32"/>
    </sheetView>
  </sheetViews>
  <sheetFormatPr defaultRowHeight="14.4" x14ac:dyDescent="0.3"/>
  <cols>
    <col min="2" max="2" width="23.88671875" style="3" customWidth="1"/>
    <col min="3" max="3" width="20.6640625" style="3" customWidth="1"/>
    <col min="4" max="4" width="13.109375" style="3" customWidth="1"/>
    <col min="5" max="5" width="14.109375" style="3" customWidth="1"/>
    <col min="6" max="6" width="13.33203125" style="3" customWidth="1"/>
    <col min="7" max="7" width="8" style="3" customWidth="1"/>
    <col min="8" max="8" width="8.88671875" style="3"/>
    <col min="9" max="9" width="14.88671875" style="3" customWidth="1"/>
  </cols>
  <sheetData>
    <row r="1" spans="1:9" x14ac:dyDescent="0.3">
      <c r="B1" s="3" t="s">
        <v>40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46</v>
      </c>
      <c r="H1" s="3" t="s">
        <v>47</v>
      </c>
      <c r="I1" s="3" t="s">
        <v>48</v>
      </c>
    </row>
    <row r="2" spans="1:9" x14ac:dyDescent="0.3">
      <c r="A2">
        <v>1</v>
      </c>
      <c r="B2" s="7" t="s">
        <v>6</v>
      </c>
      <c r="C2" s="4">
        <v>12.4405063291139</v>
      </c>
      <c r="D2" s="3">
        <v>0.90912770184541902</v>
      </c>
      <c r="E2" s="4">
        <v>11.1291139240506</v>
      </c>
      <c r="F2" s="4">
        <v>13.7518987341772</v>
      </c>
      <c r="G2" s="3">
        <v>5</v>
      </c>
      <c r="H2" s="3" t="s">
        <v>49</v>
      </c>
      <c r="I2" s="3" t="s">
        <v>50</v>
      </c>
    </row>
    <row r="3" spans="1:9" x14ac:dyDescent="0.3">
      <c r="A3">
        <v>2</v>
      </c>
      <c r="B3" s="7" t="s">
        <v>33</v>
      </c>
      <c r="C3" s="4">
        <v>13.1139240506329</v>
      </c>
      <c r="D3" s="3">
        <v>1.1072185809217101</v>
      </c>
      <c r="E3" s="4">
        <v>11.459915611814299</v>
      </c>
      <c r="F3" s="4">
        <v>14.7679324894515</v>
      </c>
      <c r="G3" s="3">
        <v>3</v>
      </c>
      <c r="H3" s="3" t="s">
        <v>49</v>
      </c>
      <c r="I3" s="3" t="s">
        <v>51</v>
      </c>
    </row>
    <row r="4" spans="1:9" x14ac:dyDescent="0.3">
      <c r="A4">
        <v>3</v>
      </c>
      <c r="B4" s="7" t="s">
        <v>21</v>
      </c>
      <c r="C4" s="4">
        <v>13.2616033755274</v>
      </c>
      <c r="D4" s="3">
        <v>1.26080550351848</v>
      </c>
      <c r="E4" s="4">
        <v>11.3417721518987</v>
      </c>
      <c r="F4" s="4">
        <v>15.1814345991561</v>
      </c>
      <c r="G4" s="3">
        <v>6</v>
      </c>
      <c r="H4" s="3" t="s">
        <v>55</v>
      </c>
      <c r="I4" s="3" t="s">
        <v>56</v>
      </c>
    </row>
    <row r="5" spans="1:9" x14ac:dyDescent="0.3">
      <c r="A5">
        <v>4</v>
      </c>
      <c r="B5" s="7" t="s">
        <v>15</v>
      </c>
      <c r="C5" s="4">
        <v>13.3565400843882</v>
      </c>
      <c r="D5" s="3">
        <v>1.0756796197045799</v>
      </c>
      <c r="E5" s="4">
        <v>11.7383966244726</v>
      </c>
      <c r="F5" s="4">
        <v>14.974683544303801</v>
      </c>
      <c r="G5" s="3">
        <v>6</v>
      </c>
      <c r="H5" s="3" t="s">
        <v>49</v>
      </c>
      <c r="I5" s="3" t="s">
        <v>51</v>
      </c>
    </row>
    <row r="6" spans="1:9" x14ac:dyDescent="0.3">
      <c r="A6">
        <v>5</v>
      </c>
      <c r="B6" s="7" t="s">
        <v>29</v>
      </c>
      <c r="C6" s="4">
        <v>14.177215189873399</v>
      </c>
      <c r="D6" s="3">
        <v>1.38029309618853</v>
      </c>
      <c r="E6" s="4">
        <v>12.0506329113924</v>
      </c>
      <c r="F6" s="4">
        <v>16.3037974683544</v>
      </c>
      <c r="G6" s="3">
        <v>8</v>
      </c>
      <c r="H6" s="3" t="s">
        <v>49</v>
      </c>
      <c r="I6" s="3" t="s">
        <v>52</v>
      </c>
    </row>
    <row r="7" spans="1:9" x14ac:dyDescent="0.3">
      <c r="A7">
        <v>6</v>
      </c>
      <c r="B7" s="7" t="s">
        <v>7</v>
      </c>
      <c r="C7" s="4">
        <v>14.236286919831199</v>
      </c>
      <c r="D7" s="3">
        <v>1.51680093369847</v>
      </c>
      <c r="E7" s="4">
        <v>11.873417721519001</v>
      </c>
      <c r="F7" s="4">
        <v>16.599156118143501</v>
      </c>
      <c r="G7" s="3">
        <v>6</v>
      </c>
      <c r="H7" s="3" t="s">
        <v>49</v>
      </c>
      <c r="I7" s="3" t="s">
        <v>59</v>
      </c>
    </row>
    <row r="8" spans="1:9" x14ac:dyDescent="0.3">
      <c r="A8">
        <v>7</v>
      </c>
      <c r="B8" s="7" t="s">
        <v>34</v>
      </c>
      <c r="C8" s="4">
        <v>14.2658227848101</v>
      </c>
      <c r="D8" s="3">
        <v>1.43149571790286</v>
      </c>
      <c r="E8" s="4">
        <v>12.0506329113924</v>
      </c>
      <c r="F8" s="4">
        <v>16.481012658227801</v>
      </c>
      <c r="G8" s="3">
        <v>4</v>
      </c>
      <c r="H8" s="3" t="s">
        <v>53</v>
      </c>
      <c r="I8" s="3" t="s">
        <v>54</v>
      </c>
    </row>
    <row r="9" spans="1:9" x14ac:dyDescent="0.3">
      <c r="A9">
        <v>8</v>
      </c>
      <c r="B9" s="7" t="s">
        <v>32</v>
      </c>
      <c r="C9" s="4">
        <v>15.0632911392405</v>
      </c>
      <c r="D9" s="3">
        <v>1.6251515967172601</v>
      </c>
      <c r="E9" s="4">
        <v>12.5316455696203</v>
      </c>
      <c r="F9" s="4">
        <v>17.5949367088608</v>
      </c>
      <c r="G9" s="3">
        <v>6</v>
      </c>
      <c r="H9" s="3" t="s">
        <v>49</v>
      </c>
      <c r="I9" s="3" t="s">
        <v>51</v>
      </c>
    </row>
    <row r="10" spans="1:9" x14ac:dyDescent="0.3">
      <c r="A10">
        <v>9</v>
      </c>
      <c r="B10" s="7" t="s">
        <v>16</v>
      </c>
      <c r="C10" s="4">
        <v>15.5590717299578</v>
      </c>
      <c r="D10" s="3">
        <v>1.3894392597495699</v>
      </c>
      <c r="E10" s="4">
        <v>13.4135021097046</v>
      </c>
      <c r="F10" s="4">
        <v>17.704641350210998</v>
      </c>
      <c r="G10" s="3">
        <v>6</v>
      </c>
      <c r="H10" s="3" t="s">
        <v>57</v>
      </c>
      <c r="I10" s="3" t="s">
        <v>58</v>
      </c>
    </row>
    <row r="11" spans="1:9" x14ac:dyDescent="0.3">
      <c r="A11">
        <v>10</v>
      </c>
      <c r="B11" s="7" t="s">
        <v>38</v>
      </c>
      <c r="C11" s="4">
        <v>15.8164556962025</v>
      </c>
      <c r="D11" s="3">
        <v>0.775701495117744</v>
      </c>
      <c r="E11" s="4">
        <v>14.6329113924051</v>
      </c>
      <c r="F11" s="4">
        <v>17</v>
      </c>
      <c r="G11" s="3">
        <v>3</v>
      </c>
      <c r="H11" s="3" t="s">
        <v>63</v>
      </c>
      <c r="I11" s="3" t="s">
        <v>64</v>
      </c>
    </row>
    <row r="12" spans="1:9" x14ac:dyDescent="0.3">
      <c r="A12">
        <v>11</v>
      </c>
      <c r="B12" s="7" t="s">
        <v>14</v>
      </c>
      <c r="C12" s="4">
        <v>15.9493670886076</v>
      </c>
      <c r="D12" s="3">
        <v>1.2594676534750699</v>
      </c>
      <c r="E12" s="4">
        <v>14.0506329113924</v>
      </c>
      <c r="F12" s="4">
        <v>17.848101265822802</v>
      </c>
      <c r="G12" s="3">
        <v>5</v>
      </c>
      <c r="H12" s="3" t="s">
        <v>49</v>
      </c>
      <c r="I12" s="3" t="s">
        <v>60</v>
      </c>
    </row>
    <row r="13" spans="1:9" x14ac:dyDescent="0.3">
      <c r="A13">
        <v>12</v>
      </c>
      <c r="B13" s="54" t="s">
        <v>37</v>
      </c>
      <c r="C13" s="6">
        <v>16.569620253164601</v>
      </c>
      <c r="D13" s="3">
        <v>0.34024506470166099</v>
      </c>
      <c r="E13" s="6">
        <v>16.139240506329099</v>
      </c>
      <c r="F13" s="8">
        <v>17</v>
      </c>
      <c r="G13" s="3">
        <v>4</v>
      </c>
      <c r="H13" s="3" t="s">
        <v>63</v>
      </c>
      <c r="I13" s="3" t="s">
        <v>68</v>
      </c>
    </row>
    <row r="14" spans="1:9" x14ac:dyDescent="0.3">
      <c r="A14">
        <v>13</v>
      </c>
      <c r="B14" s="54" t="s">
        <v>30</v>
      </c>
      <c r="C14" s="6">
        <v>16.835443037974699</v>
      </c>
      <c r="D14" s="3">
        <v>2.3015243573239998</v>
      </c>
      <c r="E14" s="4">
        <v>13.1139240506329</v>
      </c>
      <c r="F14" s="4">
        <v>20.556962025316501</v>
      </c>
      <c r="G14" s="3">
        <v>1</v>
      </c>
      <c r="H14" s="3" t="s">
        <v>57</v>
      </c>
      <c r="I14" s="3" t="s">
        <v>70</v>
      </c>
    </row>
    <row r="15" spans="1:9" x14ac:dyDescent="0.3">
      <c r="A15">
        <v>14</v>
      </c>
      <c r="B15" s="54" t="s">
        <v>10</v>
      </c>
      <c r="C15" s="6">
        <v>17.056962025316501</v>
      </c>
      <c r="D15" s="3">
        <v>1.60686810668849</v>
      </c>
      <c r="E15" s="4">
        <v>14.5569620253165</v>
      </c>
      <c r="F15" s="4">
        <v>19.556962025316501</v>
      </c>
      <c r="G15" s="3">
        <v>6</v>
      </c>
      <c r="H15" s="3" t="s">
        <v>49</v>
      </c>
      <c r="I15" s="3" t="s">
        <v>66</v>
      </c>
    </row>
    <row r="16" spans="1:9" x14ac:dyDescent="0.3">
      <c r="A16">
        <v>15</v>
      </c>
      <c r="B16" s="54" t="s">
        <v>18</v>
      </c>
      <c r="C16" s="6">
        <v>17.1139240506329</v>
      </c>
      <c r="D16" s="3">
        <v>1.4799745013821199</v>
      </c>
      <c r="E16" s="4">
        <v>14.852320675105499</v>
      </c>
      <c r="F16" s="4">
        <v>19.3755274261603</v>
      </c>
      <c r="G16" s="3">
        <v>6</v>
      </c>
      <c r="H16" s="3" t="s">
        <v>49</v>
      </c>
      <c r="I16" s="3" t="s">
        <v>51</v>
      </c>
    </row>
    <row r="17" spans="1:9" x14ac:dyDescent="0.3">
      <c r="A17">
        <v>16</v>
      </c>
      <c r="B17" s="54" t="s">
        <v>27</v>
      </c>
      <c r="C17" s="6">
        <v>17.120253164556999</v>
      </c>
      <c r="D17" s="3">
        <v>1.78966295930103</v>
      </c>
      <c r="E17" s="4">
        <v>14.3037974683544</v>
      </c>
      <c r="F17" s="4">
        <v>19.936708860759499</v>
      </c>
      <c r="G17" s="3">
        <v>6</v>
      </c>
      <c r="H17" s="3" t="s">
        <v>57</v>
      </c>
      <c r="I17" s="3" t="s">
        <v>65</v>
      </c>
    </row>
    <row r="18" spans="1:9" x14ac:dyDescent="0.3">
      <c r="A18">
        <v>17</v>
      </c>
      <c r="B18" s="54" t="s">
        <v>3</v>
      </c>
      <c r="C18" s="6">
        <v>17.4050632911392</v>
      </c>
      <c r="D18" s="3">
        <v>1.44232473479431</v>
      </c>
      <c r="E18" s="6">
        <v>15.1898734177215</v>
      </c>
      <c r="F18" s="4">
        <v>19.620253164556999</v>
      </c>
      <c r="G18" s="3">
        <v>6</v>
      </c>
      <c r="H18" s="3" t="s">
        <v>49</v>
      </c>
      <c r="I18" s="3" t="s">
        <v>60</v>
      </c>
    </row>
    <row r="19" spans="1:9" x14ac:dyDescent="0.3">
      <c r="A19">
        <v>18</v>
      </c>
      <c r="B19" s="54" t="s">
        <v>19</v>
      </c>
      <c r="C19" s="6">
        <v>17.485232067510498</v>
      </c>
      <c r="D19" s="3">
        <v>1.4994826035817399</v>
      </c>
      <c r="E19" s="6">
        <v>15.1898734177215</v>
      </c>
      <c r="F19" s="4">
        <v>19.780590717299599</v>
      </c>
      <c r="G19" s="3">
        <v>6</v>
      </c>
      <c r="H19" s="3" t="s">
        <v>49</v>
      </c>
      <c r="I19" s="3" t="s">
        <v>66</v>
      </c>
    </row>
    <row r="20" spans="1:9" x14ac:dyDescent="0.3">
      <c r="A20">
        <v>19</v>
      </c>
      <c r="B20" s="54" t="s">
        <v>28</v>
      </c>
      <c r="C20" s="6">
        <v>17.7848101265823</v>
      </c>
      <c r="D20" s="3">
        <v>2.5755386362484201</v>
      </c>
      <c r="E20" s="4">
        <v>13.6075949367089</v>
      </c>
      <c r="F20" s="6">
        <v>21.962025316455701</v>
      </c>
      <c r="G20" s="3">
        <v>6</v>
      </c>
      <c r="H20" s="3" t="s">
        <v>61</v>
      </c>
      <c r="I20" s="3" t="s">
        <v>62</v>
      </c>
    </row>
    <row r="21" spans="1:9" x14ac:dyDescent="0.3">
      <c r="A21">
        <v>20</v>
      </c>
      <c r="B21" s="54" t="s">
        <v>8</v>
      </c>
      <c r="C21" s="6">
        <v>18.0063291139241</v>
      </c>
      <c r="D21" s="3">
        <v>1.82621635005549</v>
      </c>
      <c r="E21" s="6">
        <v>15.126582278480999</v>
      </c>
      <c r="F21" s="4">
        <v>20.8860759493671</v>
      </c>
      <c r="G21" s="3">
        <v>6</v>
      </c>
      <c r="H21" s="3" t="s">
        <v>61</v>
      </c>
      <c r="I21" s="3" t="s">
        <v>67</v>
      </c>
    </row>
    <row r="22" spans="1:9" x14ac:dyDescent="0.3">
      <c r="A22">
        <v>21</v>
      </c>
      <c r="B22" s="54" t="s">
        <v>9</v>
      </c>
      <c r="C22" s="6">
        <v>18.1962025316456</v>
      </c>
      <c r="D22" s="3">
        <v>2.30142682123723</v>
      </c>
      <c r="E22" s="4">
        <v>14.493670886076</v>
      </c>
      <c r="F22" s="6">
        <v>21.8987341772152</v>
      </c>
      <c r="G22" s="3">
        <v>6</v>
      </c>
      <c r="H22" s="3" t="s">
        <v>61</v>
      </c>
      <c r="I22" s="3" t="s">
        <v>62</v>
      </c>
    </row>
    <row r="23" spans="1:9" x14ac:dyDescent="0.3">
      <c r="A23">
        <v>22</v>
      </c>
      <c r="B23" s="54" t="s">
        <v>35</v>
      </c>
      <c r="C23" s="6">
        <v>18.5126582278481</v>
      </c>
      <c r="D23" s="3">
        <v>1.91784867576683</v>
      </c>
      <c r="E23" s="6">
        <v>15.427215189873399</v>
      </c>
      <c r="F23" s="6">
        <v>21.598101265822802</v>
      </c>
      <c r="G23" s="3">
        <v>4</v>
      </c>
      <c r="H23" s="3" t="s">
        <v>49</v>
      </c>
      <c r="I23" s="3" t="s">
        <v>69</v>
      </c>
    </row>
    <row r="24" spans="1:9" x14ac:dyDescent="0.3">
      <c r="A24">
        <v>23</v>
      </c>
      <c r="B24" s="54" t="s">
        <v>22</v>
      </c>
      <c r="C24" s="6">
        <v>18.924050632911399</v>
      </c>
      <c r="D24" s="3">
        <v>2.39280859260868</v>
      </c>
      <c r="E24" s="6">
        <v>15.0632911392405</v>
      </c>
      <c r="F24" s="6">
        <v>22.7848101265823</v>
      </c>
      <c r="G24" s="3">
        <v>6</v>
      </c>
      <c r="H24" s="3" t="s">
        <v>55</v>
      </c>
      <c r="I24" s="3" t="s">
        <v>71</v>
      </c>
    </row>
    <row r="25" spans="1:9" x14ac:dyDescent="0.3">
      <c r="A25">
        <v>24</v>
      </c>
      <c r="B25" s="54" t="s">
        <v>20</v>
      </c>
      <c r="C25" s="6">
        <v>19.530590717299599</v>
      </c>
      <c r="D25" s="3">
        <v>1.70404424235297</v>
      </c>
      <c r="E25" s="6">
        <v>16.909282700421901</v>
      </c>
      <c r="F25" s="6">
        <v>22.151898734177198</v>
      </c>
      <c r="G25" s="3">
        <v>6</v>
      </c>
      <c r="H25" s="3" t="s">
        <v>49</v>
      </c>
      <c r="I25" s="3" t="s">
        <v>50</v>
      </c>
    </row>
    <row r="26" spans="1:9" x14ac:dyDescent="0.3">
      <c r="A26">
        <v>25</v>
      </c>
      <c r="B26" s="54" t="s">
        <v>17</v>
      </c>
      <c r="C26" s="6">
        <v>19.615189873417702</v>
      </c>
      <c r="D26" s="3">
        <v>1.8519972589576901</v>
      </c>
      <c r="E26" s="6">
        <v>16.653164556962</v>
      </c>
      <c r="F26" s="6">
        <v>22.577215189873399</v>
      </c>
      <c r="G26" s="3">
        <v>5</v>
      </c>
      <c r="H26" s="3" t="s">
        <v>61</v>
      </c>
      <c r="I26" s="3" t="s">
        <v>72</v>
      </c>
    </row>
    <row r="27" spans="1:9" x14ac:dyDescent="0.3">
      <c r="A27">
        <v>26</v>
      </c>
      <c r="B27" s="54" t="s">
        <v>36</v>
      </c>
      <c r="C27" s="6">
        <v>19.873417721519001</v>
      </c>
      <c r="D27" s="3">
        <v>0.17901437498393499</v>
      </c>
      <c r="E27" s="5">
        <v>19.746835443038002</v>
      </c>
      <c r="F27" s="4">
        <v>20</v>
      </c>
      <c r="G27" s="3">
        <v>1</v>
      </c>
      <c r="H27" s="3" t="s">
        <v>49</v>
      </c>
      <c r="I27" s="3" t="s">
        <v>52</v>
      </c>
    </row>
    <row r="28" spans="1:9" x14ac:dyDescent="0.3">
      <c r="A28">
        <v>27</v>
      </c>
      <c r="B28" s="7" t="s">
        <v>12</v>
      </c>
      <c r="C28" s="5">
        <v>20</v>
      </c>
      <c r="D28" s="3">
        <v>2.61211583592979</v>
      </c>
      <c r="E28" s="6">
        <v>15.7594936708861</v>
      </c>
      <c r="F28" s="6">
        <v>24.240506329113899</v>
      </c>
      <c r="G28" s="3">
        <v>6</v>
      </c>
      <c r="H28" s="3" t="s">
        <v>61</v>
      </c>
      <c r="I28" s="3" t="s">
        <v>62</v>
      </c>
    </row>
    <row r="29" spans="1:9" x14ac:dyDescent="0.3">
      <c r="A29">
        <v>28</v>
      </c>
      <c r="B29" s="7" t="s">
        <v>31</v>
      </c>
      <c r="C29" s="5">
        <v>20.2088607594937</v>
      </c>
      <c r="D29" s="3">
        <v>2.8880195632199701</v>
      </c>
      <c r="E29" s="6">
        <v>15.5</v>
      </c>
      <c r="F29" s="6">
        <v>24.9177215189873</v>
      </c>
      <c r="G29" s="3">
        <v>6</v>
      </c>
      <c r="H29" s="3" t="s">
        <v>61</v>
      </c>
      <c r="I29" s="3" t="s">
        <v>62</v>
      </c>
    </row>
    <row r="30" spans="1:9" x14ac:dyDescent="0.3">
      <c r="A30">
        <v>29</v>
      </c>
      <c r="B30" s="7" t="s">
        <v>11</v>
      </c>
      <c r="C30" s="5">
        <v>20.780289330922201</v>
      </c>
      <c r="D30" s="3">
        <v>1.8861217625478299</v>
      </c>
      <c r="E30" s="6">
        <v>17.820976491862599</v>
      </c>
      <c r="F30" s="6">
        <v>23.7396021699819</v>
      </c>
      <c r="G30" s="3">
        <v>7</v>
      </c>
      <c r="H30" s="3" t="s">
        <v>61</v>
      </c>
      <c r="I30" s="3" t="s">
        <v>62</v>
      </c>
    </row>
    <row r="31" spans="1:9" x14ac:dyDescent="0.3">
      <c r="A31">
        <v>30</v>
      </c>
      <c r="B31" s="7" t="s">
        <v>26</v>
      </c>
      <c r="C31" s="5">
        <v>21.484177215189899</v>
      </c>
      <c r="D31" s="3">
        <v>2.9068915907937298</v>
      </c>
      <c r="E31" s="6">
        <v>16.742616033755301</v>
      </c>
      <c r="F31" s="6">
        <v>26.2257383966245</v>
      </c>
      <c r="G31" s="3">
        <v>6</v>
      </c>
      <c r="H31" s="3" t="s">
        <v>61</v>
      </c>
      <c r="I31" s="3" t="s">
        <v>62</v>
      </c>
    </row>
    <row r="32" spans="1:9" x14ac:dyDescent="0.3">
      <c r="A32">
        <v>31</v>
      </c>
      <c r="B32" s="7" t="s">
        <v>2</v>
      </c>
      <c r="C32" s="5">
        <v>21.805907172995799</v>
      </c>
      <c r="D32" s="3">
        <v>2.5461544806815399</v>
      </c>
      <c r="E32" s="6">
        <v>17.717299578059102</v>
      </c>
      <c r="F32" s="6">
        <v>25.894514767932499</v>
      </c>
      <c r="G32" s="3">
        <v>6</v>
      </c>
      <c r="H32" s="3" t="s">
        <v>61</v>
      </c>
      <c r="I32" s="3" t="s">
        <v>76</v>
      </c>
    </row>
    <row r="33" spans="1:9" x14ac:dyDescent="0.3">
      <c r="A33">
        <v>32</v>
      </c>
      <c r="B33" s="7" t="s">
        <v>4</v>
      </c>
      <c r="C33" s="5">
        <v>21.913502109704599</v>
      </c>
      <c r="D33" s="3">
        <v>2.5254458797788701</v>
      </c>
      <c r="E33" s="6">
        <v>17.860759493670901</v>
      </c>
      <c r="F33" s="6">
        <v>25.966244725738399</v>
      </c>
      <c r="G33" s="3">
        <v>6</v>
      </c>
      <c r="H33" s="3" t="s">
        <v>61</v>
      </c>
      <c r="I33" s="3" t="s">
        <v>72</v>
      </c>
    </row>
    <row r="34" spans="1:9" x14ac:dyDescent="0.3">
      <c r="A34">
        <v>33</v>
      </c>
      <c r="B34" s="3" t="s">
        <v>0</v>
      </c>
      <c r="C34" s="5">
        <v>22.058707987778298</v>
      </c>
      <c r="D34" s="3">
        <v>2.2338012520467001</v>
      </c>
      <c r="E34" s="6">
        <v>18.506329113924</v>
      </c>
      <c r="F34" s="6">
        <v>25.611086861632501</v>
      </c>
      <c r="G34" s="3">
        <v>29</v>
      </c>
      <c r="H34" s="3" t="s">
        <v>61</v>
      </c>
      <c r="I34" s="3" t="s">
        <v>62</v>
      </c>
    </row>
    <row r="35" spans="1:9" x14ac:dyDescent="0.3">
      <c r="A35">
        <v>34</v>
      </c>
      <c r="B35" s="7" t="s">
        <v>5</v>
      </c>
      <c r="C35" s="5">
        <v>22.6835443037975</v>
      </c>
      <c r="D35" s="3">
        <v>1.9673786235634501</v>
      </c>
      <c r="E35" s="5">
        <v>19.578059071729999</v>
      </c>
      <c r="F35" s="6">
        <v>25.789029535865001</v>
      </c>
      <c r="G35" s="3">
        <v>6</v>
      </c>
      <c r="H35" s="3" t="s">
        <v>61</v>
      </c>
      <c r="I35" s="3" t="s">
        <v>62</v>
      </c>
    </row>
    <row r="36" spans="1:9" x14ac:dyDescent="0.3">
      <c r="A36">
        <v>35</v>
      </c>
      <c r="B36" s="7" t="s">
        <v>1</v>
      </c>
      <c r="C36" s="5">
        <v>23.325949367088601</v>
      </c>
      <c r="D36" s="3">
        <v>2.18388076651495</v>
      </c>
      <c r="E36" s="5">
        <v>19.9113924050633</v>
      </c>
      <c r="F36" s="6">
        <v>26.740506329113899</v>
      </c>
      <c r="G36" s="3">
        <v>6</v>
      </c>
      <c r="H36" s="3" t="s">
        <v>57</v>
      </c>
      <c r="I36" s="3" t="s">
        <v>75</v>
      </c>
    </row>
    <row r="37" spans="1:9" x14ac:dyDescent="0.3">
      <c r="A37">
        <v>36</v>
      </c>
      <c r="B37" s="7" t="s">
        <v>23</v>
      </c>
      <c r="C37" s="5">
        <v>23.407172995780599</v>
      </c>
      <c r="D37" s="3">
        <v>2.3651470801386099</v>
      </c>
      <c r="E37" s="5">
        <v>19.641350210970501</v>
      </c>
      <c r="F37" s="5">
        <v>27.1729957805907</v>
      </c>
      <c r="G37" s="3">
        <v>6</v>
      </c>
      <c r="H37" s="3" t="s">
        <v>73</v>
      </c>
      <c r="I37" s="3" t="s">
        <v>74</v>
      </c>
    </row>
    <row r="38" spans="1:9" x14ac:dyDescent="0.3">
      <c r="A38">
        <v>37</v>
      </c>
      <c r="B38" s="7" t="s">
        <v>39</v>
      </c>
      <c r="C38" s="5">
        <v>24.506329113924</v>
      </c>
      <c r="D38" s="3">
        <v>2.1624462282595101</v>
      </c>
      <c r="E38" s="5">
        <v>21.063291139240501</v>
      </c>
      <c r="F38" s="5">
        <v>27.949367088607602</v>
      </c>
      <c r="G38" s="3">
        <v>1</v>
      </c>
      <c r="H38" s="3" t="s">
        <v>53</v>
      </c>
      <c r="I38" s="3" t="s">
        <v>79</v>
      </c>
    </row>
    <row r="39" spans="1:9" x14ac:dyDescent="0.3">
      <c r="A39">
        <v>38</v>
      </c>
      <c r="B39" s="7" t="s">
        <v>24</v>
      </c>
      <c r="C39" s="5">
        <v>25.163502109704599</v>
      </c>
      <c r="D39" s="3">
        <v>1.87800288639228</v>
      </c>
      <c r="E39" s="5">
        <v>22.194092827004201</v>
      </c>
      <c r="F39" s="5">
        <v>28.132911392405099</v>
      </c>
      <c r="G39" s="3">
        <v>6</v>
      </c>
      <c r="H39" s="3" t="s">
        <v>73</v>
      </c>
      <c r="I39" s="3" t="s">
        <v>77</v>
      </c>
    </row>
    <row r="40" spans="1:9" x14ac:dyDescent="0.3">
      <c r="A40">
        <v>39</v>
      </c>
      <c r="B40" s="7" t="s">
        <v>13</v>
      </c>
      <c r="C40" s="5">
        <v>25.1873417721519</v>
      </c>
      <c r="D40" s="3">
        <v>1.5630984821274101</v>
      </c>
      <c r="E40" s="5">
        <v>22.744303797468401</v>
      </c>
      <c r="F40" s="5">
        <v>27.630379746835398</v>
      </c>
      <c r="G40" s="3">
        <v>5</v>
      </c>
      <c r="H40" s="3" t="s">
        <v>57</v>
      </c>
      <c r="I40" s="3" t="s">
        <v>78</v>
      </c>
    </row>
    <row r="41" spans="1:9" x14ac:dyDescent="0.3">
      <c r="A41">
        <v>40</v>
      </c>
      <c r="B41" s="7" t="s">
        <v>25</v>
      </c>
      <c r="C41" s="5">
        <v>30.854430379746798</v>
      </c>
      <c r="D41" s="3">
        <v>3.3482189978409602</v>
      </c>
      <c r="E41" s="5">
        <v>25.424050632911399</v>
      </c>
      <c r="F41" s="5">
        <v>36.2848101265823</v>
      </c>
      <c r="G41" s="3">
        <v>6</v>
      </c>
      <c r="H41" s="3" t="s">
        <v>61</v>
      </c>
      <c r="I41" s="3" t="s">
        <v>62</v>
      </c>
    </row>
  </sheetData>
  <autoFilter ref="A1:I41" xr:uid="{DAFE393E-EE67-4EA2-866F-0BF326F18ECC}">
    <sortState xmlns:xlrd2="http://schemas.microsoft.com/office/spreadsheetml/2017/richdata2" ref="A2:I41">
      <sortCondition ref="C1:C4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CCF5-78E4-4152-B83B-226EAD441227}">
  <dimension ref="A1:J236"/>
  <sheetViews>
    <sheetView topLeftCell="A128" workbookViewId="0">
      <selection activeCell="I72" sqref="I72"/>
    </sheetView>
  </sheetViews>
  <sheetFormatPr defaultRowHeight="14.4" x14ac:dyDescent="0.3"/>
  <cols>
    <col min="2" max="2" width="20" customWidth="1"/>
    <col min="4" max="4" width="13.88671875" customWidth="1"/>
    <col min="6" max="6" width="12.5546875" customWidth="1"/>
    <col min="7" max="7" width="12.109375" customWidth="1"/>
    <col min="8" max="8" width="8.109375" customWidth="1"/>
  </cols>
  <sheetData>
    <row r="1" spans="1:10" x14ac:dyDescent="0.3"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</row>
    <row r="2" spans="1:10" x14ac:dyDescent="0.3">
      <c r="A2">
        <v>1</v>
      </c>
      <c r="B2" t="s">
        <v>6</v>
      </c>
      <c r="C2">
        <v>222</v>
      </c>
      <c r="D2">
        <v>11.1645569620253</v>
      </c>
      <c r="E2">
        <v>0.66307852423841995</v>
      </c>
      <c r="F2">
        <v>10.278481012658199</v>
      </c>
      <c r="G2">
        <v>12.0506329113924</v>
      </c>
      <c r="H2">
        <v>6</v>
      </c>
      <c r="I2" t="s">
        <v>49</v>
      </c>
      <c r="J2" t="s">
        <v>50</v>
      </c>
    </row>
    <row r="3" spans="1:10" x14ac:dyDescent="0.3">
      <c r="A3">
        <v>2</v>
      </c>
      <c r="B3" t="s">
        <v>6</v>
      </c>
      <c r="C3">
        <v>221</v>
      </c>
      <c r="D3">
        <v>11.873417721519001</v>
      </c>
      <c r="E3">
        <v>0.86817357972062004</v>
      </c>
      <c r="F3">
        <v>10.6329113924051</v>
      </c>
      <c r="G3">
        <v>13.1139240506329</v>
      </c>
      <c r="H3">
        <v>8</v>
      </c>
      <c r="I3" t="s">
        <v>49</v>
      </c>
      <c r="J3" t="s">
        <v>50</v>
      </c>
    </row>
    <row r="4" spans="1:10" x14ac:dyDescent="0.3">
      <c r="A4">
        <v>3</v>
      </c>
      <c r="B4" t="s">
        <v>15</v>
      </c>
      <c r="C4">
        <v>296</v>
      </c>
      <c r="D4">
        <v>12.177215189873399</v>
      </c>
      <c r="E4">
        <v>1.09154739935747</v>
      </c>
      <c r="F4">
        <v>10.5316455696203</v>
      </c>
      <c r="G4">
        <v>13.822784810126601</v>
      </c>
      <c r="H4">
        <v>11</v>
      </c>
      <c r="I4" t="s">
        <v>49</v>
      </c>
      <c r="J4" t="s">
        <v>51</v>
      </c>
    </row>
    <row r="5" spans="1:10" x14ac:dyDescent="0.3">
      <c r="A5">
        <v>4</v>
      </c>
      <c r="B5" t="s">
        <v>29</v>
      </c>
      <c r="C5">
        <v>404</v>
      </c>
      <c r="D5">
        <v>12.227848101265799</v>
      </c>
      <c r="E5">
        <v>1.4826886546173501</v>
      </c>
      <c r="F5">
        <v>9.9240506329113902</v>
      </c>
      <c r="G5">
        <v>14.5316455696203</v>
      </c>
      <c r="H5">
        <v>14</v>
      </c>
      <c r="I5" t="s">
        <v>49</v>
      </c>
      <c r="J5" t="s">
        <v>52</v>
      </c>
    </row>
    <row r="6" spans="1:10" x14ac:dyDescent="0.3">
      <c r="A6">
        <v>5</v>
      </c>
      <c r="B6" t="s">
        <v>33</v>
      </c>
      <c r="C6">
        <v>419</v>
      </c>
      <c r="D6">
        <v>12.5822784810127</v>
      </c>
      <c r="E6">
        <v>1.2779169077593899</v>
      </c>
      <c r="F6">
        <v>10.6329113924051</v>
      </c>
      <c r="G6">
        <v>14.5316455696203</v>
      </c>
      <c r="H6">
        <v>12</v>
      </c>
      <c r="I6" t="s">
        <v>49</v>
      </c>
      <c r="J6" t="s">
        <v>51</v>
      </c>
    </row>
    <row r="7" spans="1:10" x14ac:dyDescent="0.3">
      <c r="A7">
        <v>6</v>
      </c>
      <c r="B7" t="s">
        <v>34</v>
      </c>
      <c r="C7">
        <v>426</v>
      </c>
      <c r="D7">
        <v>12.5822784810127</v>
      </c>
      <c r="E7">
        <v>1.2779169077593899</v>
      </c>
      <c r="F7">
        <v>10.6329113924051</v>
      </c>
      <c r="G7">
        <v>14.5316455696203</v>
      </c>
      <c r="H7">
        <v>12</v>
      </c>
      <c r="I7" t="s">
        <v>53</v>
      </c>
      <c r="J7" t="s">
        <v>54</v>
      </c>
    </row>
    <row r="8" spans="1:10" x14ac:dyDescent="0.3">
      <c r="A8">
        <v>7</v>
      </c>
      <c r="B8" t="s">
        <v>6</v>
      </c>
      <c r="C8">
        <v>223</v>
      </c>
      <c r="D8">
        <v>12.7594936708861</v>
      </c>
      <c r="E8">
        <v>0.97064757026231996</v>
      </c>
      <c r="F8">
        <v>11.3417721518987</v>
      </c>
      <c r="G8">
        <v>14.177215189873399</v>
      </c>
      <c r="H8">
        <v>9</v>
      </c>
      <c r="I8" t="s">
        <v>49</v>
      </c>
      <c r="J8" t="s">
        <v>50</v>
      </c>
    </row>
    <row r="9" spans="1:10" x14ac:dyDescent="0.3">
      <c r="A9">
        <v>8</v>
      </c>
      <c r="B9" t="s">
        <v>21</v>
      </c>
      <c r="C9">
        <v>348</v>
      </c>
      <c r="D9">
        <v>12.7594936708861</v>
      </c>
      <c r="E9">
        <v>1.1755125839234299</v>
      </c>
      <c r="F9">
        <v>10.9873417721519</v>
      </c>
      <c r="G9">
        <v>14.5316455696203</v>
      </c>
      <c r="H9">
        <v>11</v>
      </c>
      <c r="I9" t="s">
        <v>55</v>
      </c>
      <c r="J9" t="s">
        <v>56</v>
      </c>
    </row>
    <row r="10" spans="1:10" x14ac:dyDescent="0.3">
      <c r="A10">
        <v>9</v>
      </c>
      <c r="B10" t="s">
        <v>6</v>
      </c>
      <c r="C10">
        <v>224</v>
      </c>
      <c r="D10">
        <v>13.1139240506329</v>
      </c>
      <c r="E10">
        <v>0.97064757026231996</v>
      </c>
      <c r="F10">
        <v>11.6962025316456</v>
      </c>
      <c r="G10">
        <v>14.5316455696203</v>
      </c>
      <c r="H10">
        <v>9</v>
      </c>
      <c r="I10" t="s">
        <v>49</v>
      </c>
      <c r="J10" t="s">
        <v>50</v>
      </c>
    </row>
    <row r="11" spans="1:10" x14ac:dyDescent="0.3">
      <c r="A11">
        <v>10</v>
      </c>
      <c r="B11" t="s">
        <v>21</v>
      </c>
      <c r="C11">
        <v>347</v>
      </c>
      <c r="D11">
        <v>13.1139240506329</v>
      </c>
      <c r="E11">
        <v>1.1755125839234299</v>
      </c>
      <c r="F11">
        <v>11.3417721518987</v>
      </c>
      <c r="G11">
        <v>14.8860759493671</v>
      </c>
      <c r="H11">
        <v>11</v>
      </c>
      <c r="I11" t="s">
        <v>55</v>
      </c>
      <c r="J11" t="s">
        <v>56</v>
      </c>
    </row>
    <row r="12" spans="1:10" x14ac:dyDescent="0.3">
      <c r="A12">
        <v>11</v>
      </c>
      <c r="B12" t="s">
        <v>21</v>
      </c>
      <c r="C12">
        <v>351</v>
      </c>
      <c r="D12">
        <v>13.1139240506329</v>
      </c>
      <c r="E12">
        <v>1.1755125839234299</v>
      </c>
      <c r="F12">
        <v>11.3417721518987</v>
      </c>
      <c r="G12">
        <v>14.8860759493671</v>
      </c>
      <c r="H12">
        <v>11</v>
      </c>
      <c r="I12" t="s">
        <v>55</v>
      </c>
      <c r="J12" t="s">
        <v>56</v>
      </c>
    </row>
    <row r="13" spans="1:10" x14ac:dyDescent="0.3">
      <c r="A13">
        <v>12</v>
      </c>
      <c r="B13" t="s">
        <v>15</v>
      </c>
      <c r="C13">
        <v>294</v>
      </c>
      <c r="D13">
        <v>13.1645569620253</v>
      </c>
      <c r="E13">
        <v>0.901315600957868</v>
      </c>
      <c r="F13">
        <v>11.8481012658228</v>
      </c>
      <c r="G13">
        <v>14.481012658227799</v>
      </c>
      <c r="H13">
        <v>9</v>
      </c>
      <c r="I13" t="s">
        <v>49</v>
      </c>
      <c r="J13" t="s">
        <v>51</v>
      </c>
    </row>
    <row r="14" spans="1:10" x14ac:dyDescent="0.3">
      <c r="A14">
        <v>13</v>
      </c>
      <c r="B14" t="s">
        <v>15</v>
      </c>
      <c r="C14">
        <v>295</v>
      </c>
      <c r="D14">
        <v>13.1645569620253</v>
      </c>
      <c r="E14">
        <v>1.2817145889630599</v>
      </c>
      <c r="F14">
        <v>11.1898734177215</v>
      </c>
      <c r="G14">
        <v>15.1392405063291</v>
      </c>
      <c r="H14">
        <v>13</v>
      </c>
      <c r="I14" t="s">
        <v>49</v>
      </c>
      <c r="J14" t="s">
        <v>51</v>
      </c>
    </row>
    <row r="15" spans="1:10" x14ac:dyDescent="0.3">
      <c r="A15">
        <v>14</v>
      </c>
      <c r="B15" t="s">
        <v>15</v>
      </c>
      <c r="C15">
        <v>297</v>
      </c>
      <c r="D15">
        <v>13.1645569620253</v>
      </c>
      <c r="E15">
        <v>1.09154739935747</v>
      </c>
      <c r="F15">
        <v>11.518987341772201</v>
      </c>
      <c r="G15">
        <v>14.8101265822785</v>
      </c>
      <c r="H15">
        <v>11</v>
      </c>
      <c r="I15" t="s">
        <v>49</v>
      </c>
      <c r="J15" t="s">
        <v>51</v>
      </c>
    </row>
    <row r="16" spans="1:10" x14ac:dyDescent="0.3">
      <c r="A16">
        <v>15</v>
      </c>
      <c r="B16" t="s">
        <v>33</v>
      </c>
      <c r="C16">
        <v>418</v>
      </c>
      <c r="D16">
        <v>13.2911392405063</v>
      </c>
      <c r="E16">
        <v>1.0730912647434101</v>
      </c>
      <c r="F16">
        <v>11.6962025316456</v>
      </c>
      <c r="G16">
        <v>14.8860759493671</v>
      </c>
      <c r="H16">
        <v>10</v>
      </c>
      <c r="I16" t="s">
        <v>49</v>
      </c>
      <c r="J16" t="s">
        <v>51</v>
      </c>
    </row>
    <row r="17" spans="1:10" x14ac:dyDescent="0.3">
      <c r="A17">
        <v>16</v>
      </c>
      <c r="B17" t="s">
        <v>6</v>
      </c>
      <c r="C17">
        <v>225</v>
      </c>
      <c r="D17">
        <v>13.2911392405063</v>
      </c>
      <c r="E17">
        <v>1.0730912647434101</v>
      </c>
      <c r="F17">
        <v>11.6962025316456</v>
      </c>
      <c r="G17">
        <v>14.8860759493671</v>
      </c>
      <c r="H17">
        <v>10</v>
      </c>
      <c r="I17" t="s">
        <v>49</v>
      </c>
      <c r="J17" t="s">
        <v>50</v>
      </c>
    </row>
    <row r="18" spans="1:10" x14ac:dyDescent="0.3">
      <c r="A18">
        <v>17</v>
      </c>
      <c r="B18" t="s">
        <v>29</v>
      </c>
      <c r="C18">
        <v>402</v>
      </c>
      <c r="D18">
        <v>13.4683544303797</v>
      </c>
      <c r="E18">
        <v>1.1755125839234299</v>
      </c>
      <c r="F18">
        <v>11.6962025316456</v>
      </c>
      <c r="G18">
        <v>15.2405063291139</v>
      </c>
      <c r="H18">
        <v>11</v>
      </c>
      <c r="I18" t="s">
        <v>49</v>
      </c>
      <c r="J18" t="s">
        <v>52</v>
      </c>
    </row>
    <row r="19" spans="1:10" x14ac:dyDescent="0.3">
      <c r="A19">
        <v>18</v>
      </c>
      <c r="B19" t="s">
        <v>33</v>
      </c>
      <c r="C19">
        <v>420</v>
      </c>
      <c r="D19">
        <v>13.4683544303797</v>
      </c>
      <c r="E19">
        <v>0.97064757026231996</v>
      </c>
      <c r="F19">
        <v>12.0506329113924</v>
      </c>
      <c r="G19">
        <v>14.8860759493671</v>
      </c>
      <c r="H19">
        <v>9</v>
      </c>
      <c r="I19" t="s">
        <v>49</v>
      </c>
      <c r="J19" t="s">
        <v>51</v>
      </c>
    </row>
    <row r="20" spans="1:10" x14ac:dyDescent="0.3">
      <c r="A20">
        <v>19</v>
      </c>
      <c r="B20" t="s">
        <v>16</v>
      </c>
      <c r="C20">
        <v>299</v>
      </c>
      <c r="D20">
        <v>13.4683544303797</v>
      </c>
      <c r="E20">
        <v>1.1755125839234299</v>
      </c>
      <c r="F20">
        <v>11.6962025316456</v>
      </c>
      <c r="G20">
        <v>15.2405063291139</v>
      </c>
      <c r="H20">
        <v>11</v>
      </c>
      <c r="I20" t="s">
        <v>57</v>
      </c>
      <c r="J20" t="s">
        <v>58</v>
      </c>
    </row>
    <row r="21" spans="1:10" x14ac:dyDescent="0.3">
      <c r="A21">
        <v>20</v>
      </c>
      <c r="B21" t="s">
        <v>21</v>
      </c>
      <c r="C21">
        <v>346</v>
      </c>
      <c r="D21">
        <v>13.4683544303797</v>
      </c>
      <c r="E21">
        <v>1.5850608448099801</v>
      </c>
      <c r="F21">
        <v>10.9873417721519</v>
      </c>
      <c r="G21">
        <v>15.9493670886076</v>
      </c>
      <c r="H21">
        <v>15</v>
      </c>
      <c r="I21" t="s">
        <v>55</v>
      </c>
      <c r="J21" t="s">
        <v>56</v>
      </c>
    </row>
    <row r="22" spans="1:10" x14ac:dyDescent="0.3">
      <c r="A22">
        <v>21</v>
      </c>
      <c r="B22" t="s">
        <v>21</v>
      </c>
      <c r="C22">
        <v>349</v>
      </c>
      <c r="D22">
        <v>13.4683544303797</v>
      </c>
      <c r="E22">
        <v>1.5850608448099801</v>
      </c>
      <c r="F22">
        <v>10.9873417721519</v>
      </c>
      <c r="G22">
        <v>15.9493670886076</v>
      </c>
      <c r="H22">
        <v>15</v>
      </c>
      <c r="I22" t="s">
        <v>55</v>
      </c>
      <c r="J22" t="s">
        <v>56</v>
      </c>
    </row>
    <row r="23" spans="1:10" x14ac:dyDescent="0.3">
      <c r="A23">
        <v>22</v>
      </c>
      <c r="B23" t="s">
        <v>29</v>
      </c>
      <c r="C23">
        <v>403</v>
      </c>
      <c r="D23">
        <v>13.6455696202532</v>
      </c>
      <c r="E23">
        <v>1.4826886546173501</v>
      </c>
      <c r="F23">
        <v>11.3417721518987</v>
      </c>
      <c r="G23">
        <v>15.9493670886076</v>
      </c>
      <c r="H23">
        <v>14</v>
      </c>
      <c r="I23" t="s">
        <v>49</v>
      </c>
      <c r="J23" t="s">
        <v>52</v>
      </c>
    </row>
    <row r="24" spans="1:10" x14ac:dyDescent="0.3">
      <c r="A24">
        <v>23</v>
      </c>
      <c r="B24" t="s">
        <v>21</v>
      </c>
      <c r="C24">
        <v>350</v>
      </c>
      <c r="D24">
        <v>13.6455696202532</v>
      </c>
      <c r="E24">
        <v>0.86817357972062004</v>
      </c>
      <c r="F24">
        <v>12.4050632911392</v>
      </c>
      <c r="G24">
        <v>14.8860759493671</v>
      </c>
      <c r="H24">
        <v>8</v>
      </c>
      <c r="I24" t="s">
        <v>55</v>
      </c>
      <c r="J24" t="s">
        <v>56</v>
      </c>
    </row>
    <row r="25" spans="1:10" x14ac:dyDescent="0.3">
      <c r="A25">
        <v>24</v>
      </c>
      <c r="B25" t="s">
        <v>15</v>
      </c>
      <c r="C25">
        <v>293</v>
      </c>
      <c r="D25">
        <v>13.822784810126601</v>
      </c>
      <c r="E25">
        <v>0.901315600957868</v>
      </c>
      <c r="F25">
        <v>12.506329113924</v>
      </c>
      <c r="G25">
        <v>15.1392405063291</v>
      </c>
      <c r="H25">
        <v>9</v>
      </c>
      <c r="I25" t="s">
        <v>49</v>
      </c>
      <c r="J25" t="s">
        <v>51</v>
      </c>
    </row>
    <row r="26" spans="1:10" x14ac:dyDescent="0.3">
      <c r="A26">
        <v>25</v>
      </c>
      <c r="B26" t="s">
        <v>29</v>
      </c>
      <c r="C26">
        <v>401</v>
      </c>
      <c r="D26">
        <v>13.822784810126601</v>
      </c>
      <c r="E26">
        <v>1.3803080188832999</v>
      </c>
      <c r="F26">
        <v>11.6962025316456</v>
      </c>
      <c r="G26">
        <v>15.9493670886076</v>
      </c>
      <c r="H26">
        <v>13</v>
      </c>
      <c r="I26" t="s">
        <v>49</v>
      </c>
      <c r="J26" t="s">
        <v>52</v>
      </c>
    </row>
    <row r="27" spans="1:10" x14ac:dyDescent="0.3">
      <c r="A27">
        <v>26</v>
      </c>
      <c r="B27" t="s">
        <v>7</v>
      </c>
      <c r="C27">
        <v>228</v>
      </c>
      <c r="D27">
        <v>13.822784810126601</v>
      </c>
      <c r="E27">
        <v>1.3803080188832999</v>
      </c>
      <c r="F27">
        <v>11.6962025316456</v>
      </c>
      <c r="G27">
        <v>15.9493670886076</v>
      </c>
      <c r="H27">
        <v>13</v>
      </c>
      <c r="I27" t="s">
        <v>49</v>
      </c>
      <c r="J27" t="s">
        <v>59</v>
      </c>
    </row>
    <row r="28" spans="1:10" x14ac:dyDescent="0.3">
      <c r="A28">
        <v>27</v>
      </c>
      <c r="B28" t="s">
        <v>7</v>
      </c>
      <c r="C28">
        <v>230</v>
      </c>
      <c r="D28">
        <v>14</v>
      </c>
      <c r="E28">
        <v>1.2779169077593899</v>
      </c>
      <c r="F28">
        <v>12.0506329113924</v>
      </c>
      <c r="G28">
        <v>15.9493670886076</v>
      </c>
      <c r="H28">
        <v>12</v>
      </c>
      <c r="I28" t="s">
        <v>49</v>
      </c>
      <c r="J28" t="s">
        <v>59</v>
      </c>
    </row>
    <row r="29" spans="1:10" x14ac:dyDescent="0.3">
      <c r="A29">
        <v>28</v>
      </c>
      <c r="B29" t="s">
        <v>7</v>
      </c>
      <c r="C29">
        <v>227</v>
      </c>
      <c r="D29">
        <v>14.177215189873399</v>
      </c>
      <c r="E29">
        <v>1.3803080188832999</v>
      </c>
      <c r="F29">
        <v>12.0506329113924</v>
      </c>
      <c r="G29">
        <v>16.3037974683544</v>
      </c>
      <c r="H29">
        <v>13</v>
      </c>
      <c r="I29" t="s">
        <v>49</v>
      </c>
      <c r="J29" t="s">
        <v>59</v>
      </c>
    </row>
    <row r="30" spans="1:10" x14ac:dyDescent="0.3">
      <c r="A30">
        <v>29</v>
      </c>
      <c r="B30" t="s">
        <v>7</v>
      </c>
      <c r="C30">
        <v>229</v>
      </c>
      <c r="D30">
        <v>14.177215189873399</v>
      </c>
      <c r="E30">
        <v>1.5850608448099801</v>
      </c>
      <c r="F30">
        <v>11.6962025316456</v>
      </c>
      <c r="G30">
        <v>16.658227848101301</v>
      </c>
      <c r="H30">
        <v>15</v>
      </c>
      <c r="I30" t="s">
        <v>49</v>
      </c>
      <c r="J30" t="s">
        <v>59</v>
      </c>
    </row>
    <row r="31" spans="1:10" x14ac:dyDescent="0.3">
      <c r="A31">
        <v>30</v>
      </c>
      <c r="B31" t="s">
        <v>34</v>
      </c>
      <c r="C31">
        <v>427</v>
      </c>
      <c r="D31">
        <v>14.3544303797468</v>
      </c>
      <c r="E31">
        <v>1.4826886546173501</v>
      </c>
      <c r="F31">
        <v>12.0506329113924</v>
      </c>
      <c r="G31">
        <v>16.658227848101301</v>
      </c>
      <c r="H31">
        <v>14</v>
      </c>
      <c r="I31" t="s">
        <v>53</v>
      </c>
      <c r="J31" t="s">
        <v>54</v>
      </c>
    </row>
    <row r="32" spans="1:10" x14ac:dyDescent="0.3">
      <c r="A32">
        <v>31</v>
      </c>
      <c r="B32" t="s">
        <v>7</v>
      </c>
      <c r="C32">
        <v>231</v>
      </c>
      <c r="D32">
        <v>14.3544303797468</v>
      </c>
      <c r="E32">
        <v>1.6874261265755299</v>
      </c>
      <c r="F32">
        <v>11.6962025316456</v>
      </c>
      <c r="G32">
        <v>17.0126582278481</v>
      </c>
      <c r="H32">
        <v>16</v>
      </c>
      <c r="I32" t="s">
        <v>49</v>
      </c>
      <c r="J32" t="s">
        <v>59</v>
      </c>
    </row>
    <row r="33" spans="1:10" x14ac:dyDescent="0.3">
      <c r="A33">
        <v>32</v>
      </c>
      <c r="B33" t="s">
        <v>32</v>
      </c>
      <c r="C33">
        <v>412</v>
      </c>
      <c r="D33">
        <v>14.620253164557001</v>
      </c>
      <c r="E33">
        <v>1.36919668688506</v>
      </c>
      <c r="F33">
        <v>12.5316455696203</v>
      </c>
      <c r="G33">
        <v>16.7088607594937</v>
      </c>
      <c r="H33">
        <v>12</v>
      </c>
      <c r="I33" t="s">
        <v>49</v>
      </c>
      <c r="J33" t="s">
        <v>51</v>
      </c>
    </row>
    <row r="34" spans="1:10" x14ac:dyDescent="0.3">
      <c r="A34">
        <v>33</v>
      </c>
      <c r="B34" t="s">
        <v>14</v>
      </c>
      <c r="C34">
        <v>277</v>
      </c>
      <c r="D34">
        <v>14.620253164557001</v>
      </c>
      <c r="E34">
        <v>1.1497406407965201</v>
      </c>
      <c r="F34">
        <v>12.9113924050633</v>
      </c>
      <c r="G34">
        <v>16.329113924050599</v>
      </c>
      <c r="H34">
        <v>10</v>
      </c>
      <c r="I34" t="s">
        <v>49</v>
      </c>
      <c r="J34" t="s">
        <v>60</v>
      </c>
    </row>
    <row r="35" spans="1:10" x14ac:dyDescent="0.3">
      <c r="A35">
        <v>34</v>
      </c>
      <c r="B35" t="s">
        <v>15</v>
      </c>
      <c r="C35">
        <v>292</v>
      </c>
      <c r="D35">
        <v>14.6455696202532</v>
      </c>
      <c r="E35">
        <v>1.1866371286337201</v>
      </c>
      <c r="F35">
        <v>12.8354430379747</v>
      </c>
      <c r="G35">
        <v>16.455696202531598</v>
      </c>
      <c r="H35">
        <v>12</v>
      </c>
      <c r="I35" t="s">
        <v>49</v>
      </c>
      <c r="J35" t="s">
        <v>51</v>
      </c>
    </row>
    <row r="36" spans="1:10" x14ac:dyDescent="0.3">
      <c r="A36">
        <v>35</v>
      </c>
      <c r="B36" t="s">
        <v>34</v>
      </c>
      <c r="C36">
        <v>424</v>
      </c>
      <c r="D36">
        <v>14.7088607594937</v>
      </c>
      <c r="E36">
        <v>1.4826886546173501</v>
      </c>
      <c r="F36">
        <v>12.4050632911392</v>
      </c>
      <c r="G36">
        <v>17.0126582278481</v>
      </c>
      <c r="H36">
        <v>14</v>
      </c>
      <c r="I36" t="s">
        <v>53</v>
      </c>
      <c r="J36" t="s">
        <v>54</v>
      </c>
    </row>
    <row r="37" spans="1:10" x14ac:dyDescent="0.3">
      <c r="A37">
        <v>36</v>
      </c>
      <c r="B37" t="s">
        <v>29</v>
      </c>
      <c r="C37">
        <v>396</v>
      </c>
      <c r="D37">
        <v>14.8860759493671</v>
      </c>
      <c r="E37">
        <v>1.1755125839234299</v>
      </c>
      <c r="F37">
        <v>13.1139240506329</v>
      </c>
      <c r="G37">
        <v>16.658227848101301</v>
      </c>
      <c r="H37">
        <v>11</v>
      </c>
      <c r="I37" t="s">
        <v>49</v>
      </c>
      <c r="J37" t="s">
        <v>52</v>
      </c>
    </row>
    <row r="38" spans="1:10" x14ac:dyDescent="0.3">
      <c r="A38">
        <v>37</v>
      </c>
      <c r="B38" t="s">
        <v>29</v>
      </c>
      <c r="C38">
        <v>400</v>
      </c>
      <c r="D38">
        <v>14.8860759493671</v>
      </c>
      <c r="E38">
        <v>1.1755125839234299</v>
      </c>
      <c r="F38">
        <v>13.1139240506329</v>
      </c>
      <c r="G38">
        <v>16.658227848101301</v>
      </c>
      <c r="H38">
        <v>11</v>
      </c>
      <c r="I38" t="s">
        <v>49</v>
      </c>
      <c r="J38" t="s">
        <v>52</v>
      </c>
    </row>
    <row r="39" spans="1:10" x14ac:dyDescent="0.3">
      <c r="A39">
        <v>38</v>
      </c>
      <c r="B39" t="s">
        <v>7</v>
      </c>
      <c r="C39">
        <v>232</v>
      </c>
      <c r="D39">
        <v>14.8860759493671</v>
      </c>
      <c r="E39">
        <v>1.7897856852793601</v>
      </c>
      <c r="F39">
        <v>12.0506329113924</v>
      </c>
      <c r="G39">
        <v>17.721518987341799</v>
      </c>
      <c r="H39">
        <v>17</v>
      </c>
      <c r="I39" t="s">
        <v>49</v>
      </c>
      <c r="J39" t="s">
        <v>59</v>
      </c>
    </row>
    <row r="40" spans="1:10" x14ac:dyDescent="0.3">
      <c r="A40">
        <v>39</v>
      </c>
      <c r="B40" t="s">
        <v>32</v>
      </c>
      <c r="C40">
        <v>413</v>
      </c>
      <c r="D40">
        <v>15</v>
      </c>
      <c r="E40">
        <v>1.58859498709002</v>
      </c>
      <c r="F40">
        <v>12.5316455696203</v>
      </c>
      <c r="G40">
        <v>17.468354430379701</v>
      </c>
      <c r="H40">
        <v>14</v>
      </c>
      <c r="I40" t="s">
        <v>49</v>
      </c>
      <c r="J40" t="s">
        <v>51</v>
      </c>
    </row>
    <row r="41" spans="1:10" x14ac:dyDescent="0.3">
      <c r="A41">
        <v>40</v>
      </c>
      <c r="B41" t="s">
        <v>28</v>
      </c>
      <c r="C41">
        <v>389</v>
      </c>
      <c r="D41">
        <v>15.1898734177215</v>
      </c>
      <c r="E41">
        <v>1.6982794765821201</v>
      </c>
      <c r="F41">
        <v>12.5316455696203</v>
      </c>
      <c r="G41">
        <v>17.848101265822802</v>
      </c>
      <c r="H41">
        <v>15</v>
      </c>
      <c r="I41" t="s">
        <v>61</v>
      </c>
      <c r="J41" t="s">
        <v>62</v>
      </c>
    </row>
    <row r="42" spans="1:10" x14ac:dyDescent="0.3">
      <c r="A42">
        <v>41</v>
      </c>
      <c r="B42" t="s">
        <v>32</v>
      </c>
      <c r="C42">
        <v>414</v>
      </c>
      <c r="D42">
        <v>15.1898734177215</v>
      </c>
      <c r="E42">
        <v>1.6982794765821201</v>
      </c>
      <c r="F42">
        <v>12.5316455696203</v>
      </c>
      <c r="G42">
        <v>17.848101265822802</v>
      </c>
      <c r="H42">
        <v>15</v>
      </c>
      <c r="I42" t="s">
        <v>49</v>
      </c>
      <c r="J42" t="s">
        <v>51</v>
      </c>
    </row>
    <row r="43" spans="1:10" x14ac:dyDescent="0.3">
      <c r="A43">
        <v>42</v>
      </c>
      <c r="B43" t="s">
        <v>32</v>
      </c>
      <c r="C43">
        <v>415</v>
      </c>
      <c r="D43">
        <v>15.1898734177215</v>
      </c>
      <c r="E43">
        <v>1.6982794765821201</v>
      </c>
      <c r="F43">
        <v>12.5316455696203</v>
      </c>
      <c r="G43">
        <v>17.848101265822802</v>
      </c>
      <c r="H43">
        <v>15</v>
      </c>
      <c r="I43" t="s">
        <v>49</v>
      </c>
      <c r="J43" t="s">
        <v>51</v>
      </c>
    </row>
    <row r="44" spans="1:10" x14ac:dyDescent="0.3">
      <c r="A44">
        <v>43</v>
      </c>
      <c r="B44" t="s">
        <v>32</v>
      </c>
      <c r="C44">
        <v>416</v>
      </c>
      <c r="D44">
        <v>15.1898734177215</v>
      </c>
      <c r="E44">
        <v>1.6982794765821201</v>
      </c>
      <c r="F44">
        <v>12.5316455696203</v>
      </c>
      <c r="G44">
        <v>17.848101265822802</v>
      </c>
      <c r="H44">
        <v>15</v>
      </c>
      <c r="I44" t="s">
        <v>49</v>
      </c>
      <c r="J44" t="s">
        <v>51</v>
      </c>
    </row>
    <row r="45" spans="1:10" x14ac:dyDescent="0.3">
      <c r="A45">
        <v>44</v>
      </c>
      <c r="B45" t="s">
        <v>32</v>
      </c>
      <c r="C45">
        <v>417</v>
      </c>
      <c r="D45">
        <v>15.1898734177215</v>
      </c>
      <c r="E45">
        <v>1.6982794765821201</v>
      </c>
      <c r="F45">
        <v>12.5316455696203</v>
      </c>
      <c r="G45">
        <v>17.848101265822802</v>
      </c>
      <c r="H45">
        <v>15</v>
      </c>
      <c r="I45" t="s">
        <v>49</v>
      </c>
      <c r="J45" t="s">
        <v>51</v>
      </c>
    </row>
    <row r="46" spans="1:10" x14ac:dyDescent="0.3">
      <c r="A46">
        <v>45</v>
      </c>
      <c r="B46" t="s">
        <v>29</v>
      </c>
      <c r="C46">
        <v>394</v>
      </c>
      <c r="D46">
        <v>15.2405063291139</v>
      </c>
      <c r="E46">
        <v>1.5850608448099801</v>
      </c>
      <c r="F46">
        <v>12.7594936708861</v>
      </c>
      <c r="G46">
        <v>17.721518987341799</v>
      </c>
      <c r="H46">
        <v>15</v>
      </c>
      <c r="I46" t="s">
        <v>49</v>
      </c>
      <c r="J46" t="s">
        <v>52</v>
      </c>
    </row>
    <row r="47" spans="1:10" x14ac:dyDescent="0.3">
      <c r="A47">
        <v>46</v>
      </c>
      <c r="B47" t="s">
        <v>29</v>
      </c>
      <c r="C47">
        <v>405</v>
      </c>
      <c r="D47">
        <v>15.2405063291139</v>
      </c>
      <c r="E47">
        <v>1.5850608448099801</v>
      </c>
      <c r="F47">
        <v>12.7594936708861</v>
      </c>
      <c r="G47">
        <v>17.721518987341799</v>
      </c>
      <c r="H47">
        <v>15</v>
      </c>
      <c r="I47" t="s">
        <v>49</v>
      </c>
      <c r="J47" t="s">
        <v>52</v>
      </c>
    </row>
    <row r="48" spans="1:10" x14ac:dyDescent="0.3">
      <c r="A48">
        <v>47</v>
      </c>
      <c r="B48" t="s">
        <v>38</v>
      </c>
      <c r="C48">
        <v>449</v>
      </c>
      <c r="D48">
        <v>15.278481012658199</v>
      </c>
      <c r="E48">
        <v>1.0866555946338901</v>
      </c>
      <c r="F48">
        <v>13.5569620253165</v>
      </c>
      <c r="G48">
        <v>17</v>
      </c>
      <c r="H48">
        <v>17</v>
      </c>
      <c r="I48" t="s">
        <v>63</v>
      </c>
      <c r="J48" t="s">
        <v>64</v>
      </c>
    </row>
    <row r="49" spans="1:10" x14ac:dyDescent="0.3">
      <c r="A49">
        <v>48</v>
      </c>
      <c r="B49" t="s">
        <v>27</v>
      </c>
      <c r="C49">
        <v>382</v>
      </c>
      <c r="D49">
        <v>15.379746835442999</v>
      </c>
      <c r="E49">
        <v>1.36919668688506</v>
      </c>
      <c r="F49">
        <v>13.2911392405063</v>
      </c>
      <c r="G49">
        <v>17.468354430379701</v>
      </c>
      <c r="H49">
        <v>12</v>
      </c>
      <c r="I49" t="s">
        <v>57</v>
      </c>
      <c r="J49" t="s">
        <v>65</v>
      </c>
    </row>
    <row r="50" spans="1:10" x14ac:dyDescent="0.3">
      <c r="A50">
        <v>49</v>
      </c>
      <c r="B50" t="s">
        <v>34</v>
      </c>
      <c r="C50">
        <v>425</v>
      </c>
      <c r="D50">
        <v>15.4177215189873</v>
      </c>
      <c r="E50">
        <v>1.4826886546173501</v>
      </c>
      <c r="F50">
        <v>13.1139240506329</v>
      </c>
      <c r="G50">
        <v>17.721518987341799</v>
      </c>
      <c r="H50">
        <v>14</v>
      </c>
      <c r="I50" t="s">
        <v>53</v>
      </c>
      <c r="J50" t="s">
        <v>54</v>
      </c>
    </row>
    <row r="51" spans="1:10" x14ac:dyDescent="0.3">
      <c r="A51">
        <v>50</v>
      </c>
      <c r="B51" t="s">
        <v>16</v>
      </c>
      <c r="C51">
        <v>300</v>
      </c>
      <c r="D51">
        <v>15.4177215189873</v>
      </c>
      <c r="E51">
        <v>1.2779169077593899</v>
      </c>
      <c r="F51">
        <v>13.4683544303797</v>
      </c>
      <c r="G51">
        <v>17.367088607594901</v>
      </c>
      <c r="H51">
        <v>12</v>
      </c>
      <c r="I51" t="s">
        <v>57</v>
      </c>
      <c r="J51" t="s">
        <v>58</v>
      </c>
    </row>
    <row r="52" spans="1:10" x14ac:dyDescent="0.3">
      <c r="A52">
        <v>51</v>
      </c>
      <c r="B52" t="s">
        <v>16</v>
      </c>
      <c r="C52">
        <v>302</v>
      </c>
      <c r="D52">
        <v>15.4177215189873</v>
      </c>
      <c r="E52">
        <v>1.2779169077593899</v>
      </c>
      <c r="F52">
        <v>13.4683544303797</v>
      </c>
      <c r="G52">
        <v>17.367088607594901</v>
      </c>
      <c r="H52">
        <v>12</v>
      </c>
      <c r="I52" t="s">
        <v>57</v>
      </c>
      <c r="J52" t="s">
        <v>58</v>
      </c>
    </row>
    <row r="53" spans="1:10" x14ac:dyDescent="0.3">
      <c r="A53">
        <v>52</v>
      </c>
      <c r="B53" t="s">
        <v>38</v>
      </c>
      <c r="C53">
        <v>447</v>
      </c>
      <c r="D53">
        <v>15.6012658227848</v>
      </c>
      <c r="E53">
        <v>0.90020382601767601</v>
      </c>
      <c r="F53">
        <v>14.2025316455696</v>
      </c>
      <c r="G53">
        <v>17</v>
      </c>
      <c r="H53">
        <v>14</v>
      </c>
      <c r="I53" t="s">
        <v>63</v>
      </c>
      <c r="J53" t="s">
        <v>64</v>
      </c>
    </row>
    <row r="54" spans="1:10" x14ac:dyDescent="0.3">
      <c r="A54">
        <v>53</v>
      </c>
      <c r="B54" t="s">
        <v>10</v>
      </c>
      <c r="C54">
        <v>252</v>
      </c>
      <c r="D54">
        <v>15.7594936708861</v>
      </c>
      <c r="E54">
        <v>1.36919668688506</v>
      </c>
      <c r="F54">
        <v>13.670886075949401</v>
      </c>
      <c r="G54">
        <v>17.848101265822802</v>
      </c>
      <c r="H54">
        <v>12</v>
      </c>
      <c r="I54" t="s">
        <v>49</v>
      </c>
      <c r="J54" t="s">
        <v>66</v>
      </c>
    </row>
    <row r="55" spans="1:10" x14ac:dyDescent="0.3">
      <c r="A55">
        <v>54</v>
      </c>
      <c r="B55" t="s">
        <v>11</v>
      </c>
      <c r="C55">
        <v>263</v>
      </c>
      <c r="D55">
        <v>15.7594936708861</v>
      </c>
      <c r="E55">
        <v>1.1497406407965201</v>
      </c>
      <c r="F55">
        <v>14.0506329113924</v>
      </c>
      <c r="G55">
        <v>17.468354430379701</v>
      </c>
      <c r="H55">
        <v>10</v>
      </c>
      <c r="I55" t="s">
        <v>61</v>
      </c>
      <c r="J55" t="s">
        <v>62</v>
      </c>
    </row>
    <row r="56" spans="1:10" x14ac:dyDescent="0.3">
      <c r="A56">
        <v>55</v>
      </c>
      <c r="B56" t="s">
        <v>14</v>
      </c>
      <c r="C56">
        <v>278</v>
      </c>
      <c r="D56">
        <v>15.7594936708861</v>
      </c>
      <c r="E56">
        <v>1.1497406407965201</v>
      </c>
      <c r="F56">
        <v>14.0506329113924</v>
      </c>
      <c r="G56">
        <v>17.468354430379701</v>
      </c>
      <c r="H56">
        <v>10</v>
      </c>
      <c r="I56" t="s">
        <v>49</v>
      </c>
      <c r="J56" t="s">
        <v>60</v>
      </c>
    </row>
    <row r="57" spans="1:10" x14ac:dyDescent="0.3">
      <c r="A57">
        <v>56</v>
      </c>
      <c r="B57" t="s">
        <v>16</v>
      </c>
      <c r="C57">
        <v>301</v>
      </c>
      <c r="D57">
        <v>15.9493670886076</v>
      </c>
      <c r="E57">
        <v>1.3803080188832999</v>
      </c>
      <c r="F57">
        <v>13.822784810126601</v>
      </c>
      <c r="G57">
        <v>18.075949367088601</v>
      </c>
      <c r="H57">
        <v>13</v>
      </c>
      <c r="I57" t="s">
        <v>57</v>
      </c>
      <c r="J57" t="s">
        <v>58</v>
      </c>
    </row>
    <row r="58" spans="1:10" x14ac:dyDescent="0.3">
      <c r="A58">
        <v>57</v>
      </c>
      <c r="B58" t="s">
        <v>28</v>
      </c>
      <c r="C58">
        <v>392</v>
      </c>
      <c r="D58">
        <v>15.9493670886076</v>
      </c>
      <c r="E58">
        <v>2.1369548121688799</v>
      </c>
      <c r="F58">
        <v>12.5316455696203</v>
      </c>
      <c r="G58">
        <v>19.367088607594901</v>
      </c>
      <c r="H58">
        <v>19</v>
      </c>
      <c r="I58" t="s">
        <v>61</v>
      </c>
      <c r="J58" t="s">
        <v>62</v>
      </c>
    </row>
    <row r="59" spans="1:10" x14ac:dyDescent="0.3">
      <c r="A59">
        <v>58</v>
      </c>
      <c r="B59" t="s">
        <v>10</v>
      </c>
      <c r="C59">
        <v>256</v>
      </c>
      <c r="D59">
        <v>15.9493670886076</v>
      </c>
      <c r="E59">
        <v>1.6982794765821201</v>
      </c>
      <c r="F59">
        <v>13.2911392405063</v>
      </c>
      <c r="G59">
        <v>18.6075949367089</v>
      </c>
      <c r="H59">
        <v>15</v>
      </c>
      <c r="I59" t="s">
        <v>49</v>
      </c>
      <c r="J59" t="s">
        <v>66</v>
      </c>
    </row>
    <row r="60" spans="1:10" x14ac:dyDescent="0.3">
      <c r="A60">
        <v>59</v>
      </c>
      <c r="B60" t="s">
        <v>14</v>
      </c>
      <c r="C60">
        <v>280</v>
      </c>
      <c r="D60">
        <v>15.9493670886076</v>
      </c>
      <c r="E60">
        <v>1.2594777684893901</v>
      </c>
      <c r="F60">
        <v>14.0506329113924</v>
      </c>
      <c r="G60">
        <v>17.848101265822802</v>
      </c>
      <c r="H60">
        <v>11</v>
      </c>
      <c r="I60" t="s">
        <v>49</v>
      </c>
      <c r="J60" t="s">
        <v>60</v>
      </c>
    </row>
    <row r="61" spans="1:10" x14ac:dyDescent="0.3">
      <c r="A61">
        <v>60</v>
      </c>
      <c r="B61" t="s">
        <v>9</v>
      </c>
      <c r="C61">
        <v>239</v>
      </c>
      <c r="D61">
        <v>15.9493670886076</v>
      </c>
      <c r="E61">
        <v>1.6982794765821201</v>
      </c>
      <c r="F61">
        <v>13.2911392405063</v>
      </c>
      <c r="G61">
        <v>18.6075949367089</v>
      </c>
      <c r="H61">
        <v>15</v>
      </c>
      <c r="I61" t="s">
        <v>61</v>
      </c>
      <c r="J61" t="s">
        <v>62</v>
      </c>
    </row>
    <row r="62" spans="1:10" x14ac:dyDescent="0.3">
      <c r="A62">
        <v>61</v>
      </c>
      <c r="B62" t="s">
        <v>8</v>
      </c>
      <c r="C62">
        <v>238</v>
      </c>
      <c r="D62">
        <v>16.329113924050599</v>
      </c>
      <c r="E62">
        <v>1.91762751994217</v>
      </c>
      <c r="F62">
        <v>13.2911392405063</v>
      </c>
      <c r="G62">
        <v>19.367088607594901</v>
      </c>
      <c r="H62">
        <v>17</v>
      </c>
      <c r="I62" t="s">
        <v>61</v>
      </c>
      <c r="J62" t="s">
        <v>67</v>
      </c>
    </row>
    <row r="63" spans="1:10" x14ac:dyDescent="0.3">
      <c r="A63">
        <v>62</v>
      </c>
      <c r="B63" t="s">
        <v>16</v>
      </c>
      <c r="C63">
        <v>303</v>
      </c>
      <c r="D63">
        <v>16.481012658227801</v>
      </c>
      <c r="E63">
        <v>1.2779169077593899</v>
      </c>
      <c r="F63">
        <v>14.5316455696203</v>
      </c>
      <c r="G63">
        <v>18.430379746835399</v>
      </c>
      <c r="H63">
        <v>12</v>
      </c>
      <c r="I63" t="s">
        <v>57</v>
      </c>
      <c r="J63" t="s">
        <v>58</v>
      </c>
    </row>
    <row r="64" spans="1:10" x14ac:dyDescent="0.3">
      <c r="A64">
        <v>63</v>
      </c>
      <c r="B64" t="s">
        <v>10</v>
      </c>
      <c r="C64">
        <v>251</v>
      </c>
      <c r="D64">
        <v>16.518987341772199</v>
      </c>
      <c r="E64">
        <v>1.58859498709002</v>
      </c>
      <c r="F64">
        <v>14.0506329113924</v>
      </c>
      <c r="G64">
        <v>18.9873417721519</v>
      </c>
      <c r="H64">
        <v>14</v>
      </c>
      <c r="I64" t="s">
        <v>49</v>
      </c>
      <c r="J64" t="s">
        <v>66</v>
      </c>
    </row>
    <row r="65" spans="1:10" x14ac:dyDescent="0.3">
      <c r="A65">
        <v>64</v>
      </c>
      <c r="B65" t="s">
        <v>8</v>
      </c>
      <c r="C65">
        <v>237</v>
      </c>
      <c r="D65">
        <v>16.518987341772199</v>
      </c>
      <c r="E65">
        <v>1.58859498709002</v>
      </c>
      <c r="F65">
        <v>14.0506329113924</v>
      </c>
      <c r="G65">
        <v>18.9873417721519</v>
      </c>
      <c r="H65">
        <v>14</v>
      </c>
      <c r="I65" t="s">
        <v>61</v>
      </c>
      <c r="J65" t="s">
        <v>67</v>
      </c>
    </row>
    <row r="66" spans="1:10" x14ac:dyDescent="0.3">
      <c r="A66">
        <v>65</v>
      </c>
      <c r="B66" t="s">
        <v>37</v>
      </c>
      <c r="C66">
        <v>439</v>
      </c>
      <c r="D66">
        <v>16.569620253164601</v>
      </c>
      <c r="E66">
        <v>0.34024506470166099</v>
      </c>
      <c r="F66">
        <v>16.139240506329099</v>
      </c>
      <c r="G66">
        <v>17</v>
      </c>
      <c r="H66">
        <v>5</v>
      </c>
      <c r="I66" t="s">
        <v>63</v>
      </c>
      <c r="J66" t="s">
        <v>68</v>
      </c>
    </row>
    <row r="67" spans="1:10" x14ac:dyDescent="0.3">
      <c r="A67">
        <v>66</v>
      </c>
      <c r="B67" t="s">
        <v>37</v>
      </c>
      <c r="C67">
        <v>441</v>
      </c>
      <c r="D67">
        <v>16.569620253164601</v>
      </c>
      <c r="E67">
        <v>0.34024506470166099</v>
      </c>
      <c r="F67">
        <v>16.139240506329099</v>
      </c>
      <c r="G67">
        <v>17</v>
      </c>
      <c r="H67">
        <v>5</v>
      </c>
      <c r="I67" t="s">
        <v>63</v>
      </c>
      <c r="J67" t="s">
        <v>68</v>
      </c>
    </row>
    <row r="68" spans="1:10" x14ac:dyDescent="0.3">
      <c r="A68">
        <v>67</v>
      </c>
      <c r="B68" t="s">
        <v>37</v>
      </c>
      <c r="C68">
        <v>443</v>
      </c>
      <c r="D68">
        <v>16.569620253164601</v>
      </c>
      <c r="E68">
        <v>0.34024506470166099</v>
      </c>
      <c r="F68">
        <v>16.139240506329099</v>
      </c>
      <c r="G68">
        <v>17</v>
      </c>
      <c r="H68">
        <v>5</v>
      </c>
      <c r="I68" t="s">
        <v>63</v>
      </c>
      <c r="J68" t="s">
        <v>68</v>
      </c>
    </row>
    <row r="69" spans="1:10" x14ac:dyDescent="0.3">
      <c r="A69">
        <v>68</v>
      </c>
      <c r="B69" t="s">
        <v>37</v>
      </c>
      <c r="C69">
        <v>444</v>
      </c>
      <c r="D69">
        <v>16.569620253164601</v>
      </c>
      <c r="E69">
        <v>0.34024506470166099</v>
      </c>
      <c r="F69">
        <v>16.139240506329099</v>
      </c>
      <c r="G69">
        <v>17</v>
      </c>
      <c r="H69">
        <v>5</v>
      </c>
      <c r="I69" t="s">
        <v>63</v>
      </c>
      <c r="J69" t="s">
        <v>68</v>
      </c>
    </row>
    <row r="70" spans="1:10" x14ac:dyDescent="0.3">
      <c r="A70">
        <v>69</v>
      </c>
      <c r="B70" t="s">
        <v>38</v>
      </c>
      <c r="C70">
        <v>448</v>
      </c>
      <c r="D70">
        <v>16.569620253164601</v>
      </c>
      <c r="E70">
        <v>0.34024506470166099</v>
      </c>
      <c r="F70">
        <v>16.139240506329099</v>
      </c>
      <c r="G70">
        <v>17</v>
      </c>
      <c r="H70">
        <v>5</v>
      </c>
      <c r="I70" t="s">
        <v>63</v>
      </c>
      <c r="J70" t="s">
        <v>64</v>
      </c>
    </row>
    <row r="71" spans="1:10" x14ac:dyDescent="0.3">
      <c r="A71">
        <v>70</v>
      </c>
      <c r="B71" t="s">
        <v>35</v>
      </c>
      <c r="C71">
        <v>430</v>
      </c>
      <c r="D71">
        <v>16.6139240506329</v>
      </c>
      <c r="E71">
        <v>1.6894111158277401</v>
      </c>
      <c r="F71">
        <v>13.924050632911401</v>
      </c>
      <c r="G71">
        <v>19.3037974683544</v>
      </c>
      <c r="H71">
        <v>18</v>
      </c>
      <c r="I71" t="s">
        <v>49</v>
      </c>
      <c r="J71" t="s">
        <v>69</v>
      </c>
    </row>
    <row r="72" spans="1:10" x14ac:dyDescent="0.3">
      <c r="A72">
        <v>71</v>
      </c>
      <c r="B72" t="s">
        <v>16</v>
      </c>
      <c r="C72">
        <v>298</v>
      </c>
      <c r="D72">
        <v>16.620253164556999</v>
      </c>
      <c r="E72">
        <v>1.94706423241253</v>
      </c>
      <c r="F72">
        <v>13.4936708860759</v>
      </c>
      <c r="G72">
        <v>19.746835443038002</v>
      </c>
      <c r="H72">
        <v>20</v>
      </c>
      <c r="I72" t="s">
        <v>57</v>
      </c>
      <c r="J72" t="s">
        <v>58</v>
      </c>
    </row>
    <row r="73" spans="1:10" x14ac:dyDescent="0.3">
      <c r="A73">
        <v>72</v>
      </c>
      <c r="B73" t="s">
        <v>14</v>
      </c>
      <c r="C73">
        <v>276</v>
      </c>
      <c r="D73">
        <v>16.7088607594937</v>
      </c>
      <c r="E73">
        <v>1.2594777684893901</v>
      </c>
      <c r="F73">
        <v>14.8101265822785</v>
      </c>
      <c r="G73">
        <v>18.6075949367089</v>
      </c>
      <c r="H73">
        <v>11</v>
      </c>
      <c r="I73" t="s">
        <v>49</v>
      </c>
      <c r="J73" t="s">
        <v>60</v>
      </c>
    </row>
    <row r="74" spans="1:10" x14ac:dyDescent="0.3">
      <c r="A74">
        <v>73</v>
      </c>
      <c r="B74" t="s">
        <v>14</v>
      </c>
      <c r="C74">
        <v>279</v>
      </c>
      <c r="D74">
        <v>16.7088607594937</v>
      </c>
      <c r="E74">
        <v>1.4789014488035299</v>
      </c>
      <c r="F74">
        <v>14.430379746835399</v>
      </c>
      <c r="G74">
        <v>18.9873417721519</v>
      </c>
      <c r="H74">
        <v>13</v>
      </c>
      <c r="I74" t="s">
        <v>49</v>
      </c>
      <c r="J74" t="s">
        <v>60</v>
      </c>
    </row>
    <row r="75" spans="1:10" x14ac:dyDescent="0.3">
      <c r="A75">
        <v>74</v>
      </c>
      <c r="B75" t="s">
        <v>8</v>
      </c>
      <c r="C75">
        <v>235</v>
      </c>
      <c r="D75">
        <v>16.7088607594937</v>
      </c>
      <c r="E75">
        <v>1.6982794765821201</v>
      </c>
      <c r="F75">
        <v>14.0506329113924</v>
      </c>
      <c r="G75">
        <v>19.367088607594901</v>
      </c>
      <c r="H75">
        <v>15</v>
      </c>
      <c r="I75" t="s">
        <v>61</v>
      </c>
      <c r="J75" t="s">
        <v>67</v>
      </c>
    </row>
    <row r="76" spans="1:10" x14ac:dyDescent="0.3">
      <c r="A76">
        <v>75</v>
      </c>
      <c r="B76" t="s">
        <v>18</v>
      </c>
      <c r="C76">
        <v>317</v>
      </c>
      <c r="D76">
        <v>16.8101265822785</v>
      </c>
      <c r="E76">
        <v>1.4604764660107299</v>
      </c>
      <c r="F76">
        <v>14.5822784810127</v>
      </c>
      <c r="G76">
        <v>19.037974683544299</v>
      </c>
      <c r="H76">
        <v>12</v>
      </c>
      <c r="I76" t="s">
        <v>49</v>
      </c>
      <c r="J76" t="s">
        <v>51</v>
      </c>
    </row>
    <row r="77" spans="1:10" x14ac:dyDescent="0.3">
      <c r="A77">
        <v>76</v>
      </c>
      <c r="B77" t="s">
        <v>30</v>
      </c>
      <c r="C77">
        <v>395</v>
      </c>
      <c r="D77">
        <v>16.835443037974699</v>
      </c>
      <c r="E77">
        <v>2.3015243573239998</v>
      </c>
      <c r="F77">
        <v>13.1139240506329</v>
      </c>
      <c r="G77">
        <v>20.556962025316501</v>
      </c>
      <c r="H77">
        <v>22</v>
      </c>
      <c r="I77" t="s">
        <v>57</v>
      </c>
      <c r="J77" t="s">
        <v>70</v>
      </c>
    </row>
    <row r="78" spans="1:10" x14ac:dyDescent="0.3">
      <c r="A78">
        <v>77</v>
      </c>
      <c r="B78" t="s">
        <v>22</v>
      </c>
      <c r="C78">
        <v>355</v>
      </c>
      <c r="D78">
        <v>16.8987341772152</v>
      </c>
      <c r="E78">
        <v>2.0272933389932901</v>
      </c>
      <c r="F78">
        <v>13.670886075949401</v>
      </c>
      <c r="G78">
        <v>20.126582278480999</v>
      </c>
      <c r="H78">
        <v>18</v>
      </c>
      <c r="I78" t="s">
        <v>55</v>
      </c>
      <c r="J78" t="s">
        <v>71</v>
      </c>
    </row>
    <row r="79" spans="1:10" x14ac:dyDescent="0.3">
      <c r="A79">
        <v>78</v>
      </c>
      <c r="B79" t="s">
        <v>18</v>
      </c>
      <c r="C79">
        <v>316</v>
      </c>
      <c r="D79">
        <v>17.0126582278481</v>
      </c>
      <c r="E79">
        <v>1.5774948787237699</v>
      </c>
      <c r="F79">
        <v>14.5822784810127</v>
      </c>
      <c r="G79">
        <v>19.443037974683499</v>
      </c>
      <c r="H79">
        <v>13</v>
      </c>
      <c r="I79" t="s">
        <v>49</v>
      </c>
      <c r="J79" t="s">
        <v>51</v>
      </c>
    </row>
    <row r="80" spans="1:10" x14ac:dyDescent="0.3">
      <c r="A80">
        <v>79</v>
      </c>
      <c r="B80" t="s">
        <v>18</v>
      </c>
      <c r="C80">
        <v>318</v>
      </c>
      <c r="D80">
        <v>17.0126582278481</v>
      </c>
      <c r="E80">
        <v>1.5774948787237699</v>
      </c>
      <c r="F80">
        <v>14.5822784810127</v>
      </c>
      <c r="G80">
        <v>19.443037974683499</v>
      </c>
      <c r="H80">
        <v>13</v>
      </c>
      <c r="I80" t="s">
        <v>49</v>
      </c>
      <c r="J80" t="s">
        <v>51</v>
      </c>
    </row>
    <row r="81" spans="1:10" x14ac:dyDescent="0.3">
      <c r="A81">
        <v>80</v>
      </c>
      <c r="B81" t="s">
        <v>18</v>
      </c>
      <c r="C81">
        <v>319</v>
      </c>
      <c r="D81">
        <v>17.0126582278481</v>
      </c>
      <c r="E81">
        <v>1.5774948787237699</v>
      </c>
      <c r="F81">
        <v>14.5822784810127</v>
      </c>
      <c r="G81">
        <v>19.443037974683499</v>
      </c>
      <c r="H81">
        <v>13</v>
      </c>
      <c r="I81" t="s">
        <v>49</v>
      </c>
      <c r="J81" t="s">
        <v>51</v>
      </c>
    </row>
    <row r="82" spans="1:10" x14ac:dyDescent="0.3">
      <c r="A82">
        <v>81</v>
      </c>
      <c r="B82" t="s">
        <v>19</v>
      </c>
      <c r="C82">
        <v>324</v>
      </c>
      <c r="D82">
        <v>17.0126582278481</v>
      </c>
      <c r="E82">
        <v>1.5774948787237699</v>
      </c>
      <c r="F82">
        <v>14.5822784810127</v>
      </c>
      <c r="G82">
        <v>19.443037974683499</v>
      </c>
      <c r="H82">
        <v>13</v>
      </c>
      <c r="I82" t="s">
        <v>49</v>
      </c>
      <c r="J82" t="s">
        <v>66</v>
      </c>
    </row>
    <row r="83" spans="1:10" x14ac:dyDescent="0.3">
      <c r="A83">
        <v>82</v>
      </c>
      <c r="B83" t="s">
        <v>27</v>
      </c>
      <c r="C83">
        <v>385</v>
      </c>
      <c r="D83">
        <v>17.0886075949367</v>
      </c>
      <c r="E83">
        <v>2.1369548121688799</v>
      </c>
      <c r="F83">
        <v>13.670886075949401</v>
      </c>
      <c r="G83">
        <v>20.5063291139241</v>
      </c>
      <c r="H83">
        <v>19</v>
      </c>
      <c r="I83" t="s">
        <v>57</v>
      </c>
      <c r="J83" t="s">
        <v>65</v>
      </c>
    </row>
    <row r="84" spans="1:10" x14ac:dyDescent="0.3">
      <c r="A84">
        <v>83</v>
      </c>
      <c r="B84" t="s">
        <v>10</v>
      </c>
      <c r="C84">
        <v>253</v>
      </c>
      <c r="D84">
        <v>17.0886075949367</v>
      </c>
      <c r="E84">
        <v>1.4789014488035299</v>
      </c>
      <c r="F84">
        <v>14.8101265822785</v>
      </c>
      <c r="G84">
        <v>19.367088607594901</v>
      </c>
      <c r="H84">
        <v>13</v>
      </c>
      <c r="I84" t="s">
        <v>49</v>
      </c>
      <c r="J84" t="s">
        <v>66</v>
      </c>
    </row>
    <row r="85" spans="1:10" x14ac:dyDescent="0.3">
      <c r="A85">
        <v>84</v>
      </c>
      <c r="B85" t="s">
        <v>3</v>
      </c>
      <c r="C85">
        <v>204</v>
      </c>
      <c r="D85">
        <v>17.0886075949367</v>
      </c>
      <c r="E85">
        <v>1.2594777684893901</v>
      </c>
      <c r="F85">
        <v>15.1898734177215</v>
      </c>
      <c r="G85">
        <v>18.9873417721519</v>
      </c>
      <c r="H85">
        <v>11</v>
      </c>
      <c r="I85" t="s">
        <v>49</v>
      </c>
      <c r="J85" t="s">
        <v>60</v>
      </c>
    </row>
    <row r="86" spans="1:10" x14ac:dyDescent="0.3">
      <c r="A86">
        <v>85</v>
      </c>
      <c r="B86" t="s">
        <v>3</v>
      </c>
      <c r="C86">
        <v>206</v>
      </c>
      <c r="D86">
        <v>17.0886075949367</v>
      </c>
      <c r="E86">
        <v>1.2594777684893901</v>
      </c>
      <c r="F86">
        <v>15.1898734177215</v>
      </c>
      <c r="G86">
        <v>18.9873417721519</v>
      </c>
      <c r="H86">
        <v>11</v>
      </c>
      <c r="I86" t="s">
        <v>49</v>
      </c>
      <c r="J86" t="s">
        <v>60</v>
      </c>
    </row>
    <row r="87" spans="1:10" x14ac:dyDescent="0.3">
      <c r="A87">
        <v>86</v>
      </c>
      <c r="B87" t="s">
        <v>19</v>
      </c>
      <c r="C87">
        <v>322</v>
      </c>
      <c r="D87">
        <v>17.2151898734177</v>
      </c>
      <c r="E87">
        <v>1.4604764660107299</v>
      </c>
      <c r="F87">
        <v>14.9873417721519</v>
      </c>
      <c r="G87">
        <v>19.443037974683499</v>
      </c>
      <c r="H87">
        <v>12</v>
      </c>
      <c r="I87" t="s">
        <v>49</v>
      </c>
      <c r="J87" t="s">
        <v>66</v>
      </c>
    </row>
    <row r="88" spans="1:10" x14ac:dyDescent="0.3">
      <c r="A88">
        <v>87</v>
      </c>
      <c r="B88" t="s">
        <v>19</v>
      </c>
      <c r="C88">
        <v>323</v>
      </c>
      <c r="D88">
        <v>17.2151898734177</v>
      </c>
      <c r="E88">
        <v>1.4604764660107299</v>
      </c>
      <c r="F88">
        <v>14.9873417721519</v>
      </c>
      <c r="G88">
        <v>19.443037974683499</v>
      </c>
      <c r="H88">
        <v>12</v>
      </c>
      <c r="I88" t="s">
        <v>49</v>
      </c>
      <c r="J88" t="s">
        <v>66</v>
      </c>
    </row>
    <row r="89" spans="1:10" x14ac:dyDescent="0.3">
      <c r="A89">
        <v>88</v>
      </c>
      <c r="B89" t="s">
        <v>19</v>
      </c>
      <c r="C89">
        <v>326</v>
      </c>
      <c r="D89">
        <v>17.2151898734177</v>
      </c>
      <c r="E89">
        <v>1.4604764660107299</v>
      </c>
      <c r="F89">
        <v>14.9873417721519</v>
      </c>
      <c r="G89">
        <v>19.443037974683499</v>
      </c>
      <c r="H89">
        <v>12</v>
      </c>
      <c r="I89" t="s">
        <v>49</v>
      </c>
      <c r="J89" t="s">
        <v>66</v>
      </c>
    </row>
    <row r="90" spans="1:10" x14ac:dyDescent="0.3">
      <c r="A90">
        <v>89</v>
      </c>
      <c r="B90" t="s">
        <v>19</v>
      </c>
      <c r="C90">
        <v>327</v>
      </c>
      <c r="D90">
        <v>17.2151898734177</v>
      </c>
      <c r="E90">
        <v>1.4604764660107299</v>
      </c>
      <c r="F90">
        <v>14.9873417721519</v>
      </c>
      <c r="G90">
        <v>19.443037974683499</v>
      </c>
      <c r="H90">
        <v>12</v>
      </c>
      <c r="I90" t="s">
        <v>49</v>
      </c>
      <c r="J90" t="s">
        <v>66</v>
      </c>
    </row>
    <row r="91" spans="1:10" x14ac:dyDescent="0.3">
      <c r="A91">
        <v>90</v>
      </c>
      <c r="B91" t="s">
        <v>27</v>
      </c>
      <c r="C91">
        <v>383</v>
      </c>
      <c r="D91">
        <v>17.278481012658201</v>
      </c>
      <c r="E91">
        <v>1.8079565641880599</v>
      </c>
      <c r="F91">
        <v>14.430379746835399</v>
      </c>
      <c r="G91">
        <v>20.126582278480999</v>
      </c>
      <c r="H91">
        <v>16</v>
      </c>
      <c r="I91" t="s">
        <v>57</v>
      </c>
      <c r="J91" t="s">
        <v>65</v>
      </c>
    </row>
    <row r="92" spans="1:10" x14ac:dyDescent="0.3">
      <c r="A92">
        <v>91</v>
      </c>
      <c r="B92" t="s">
        <v>27</v>
      </c>
      <c r="C92">
        <v>387</v>
      </c>
      <c r="D92">
        <v>17.278481012658201</v>
      </c>
      <c r="E92">
        <v>1.8079565641880599</v>
      </c>
      <c r="F92">
        <v>14.430379746835399</v>
      </c>
      <c r="G92">
        <v>20.126582278480999</v>
      </c>
      <c r="H92">
        <v>16</v>
      </c>
      <c r="I92" t="s">
        <v>57</v>
      </c>
      <c r="J92" t="s">
        <v>65</v>
      </c>
    </row>
    <row r="93" spans="1:10" x14ac:dyDescent="0.3">
      <c r="A93">
        <v>92</v>
      </c>
      <c r="B93" t="s">
        <v>18</v>
      </c>
      <c r="C93">
        <v>320</v>
      </c>
      <c r="D93">
        <v>17.4177215189873</v>
      </c>
      <c r="E93">
        <v>1.34344295305535</v>
      </c>
      <c r="F93">
        <v>15.3924050632911</v>
      </c>
      <c r="G93">
        <v>19.443037974683499</v>
      </c>
      <c r="H93">
        <v>11</v>
      </c>
      <c r="I93" t="s">
        <v>49</v>
      </c>
      <c r="J93" t="s">
        <v>51</v>
      </c>
    </row>
    <row r="94" spans="1:10" x14ac:dyDescent="0.3">
      <c r="A94">
        <v>93</v>
      </c>
      <c r="B94" t="s">
        <v>18</v>
      </c>
      <c r="C94">
        <v>321</v>
      </c>
      <c r="D94">
        <v>17.4177215189873</v>
      </c>
      <c r="E94">
        <v>1.34344295305535</v>
      </c>
      <c r="F94">
        <v>15.3924050632911</v>
      </c>
      <c r="G94">
        <v>19.443037974683499</v>
      </c>
      <c r="H94">
        <v>11</v>
      </c>
      <c r="I94" t="s">
        <v>49</v>
      </c>
      <c r="J94" t="s">
        <v>51</v>
      </c>
    </row>
    <row r="95" spans="1:10" x14ac:dyDescent="0.3">
      <c r="A95">
        <v>94</v>
      </c>
      <c r="B95" t="s">
        <v>3</v>
      </c>
      <c r="C95">
        <v>203</v>
      </c>
      <c r="D95">
        <v>17.468354430379701</v>
      </c>
      <c r="E95">
        <v>1.4789014488035299</v>
      </c>
      <c r="F95">
        <v>15.1898734177215</v>
      </c>
      <c r="G95">
        <v>19.746835443038002</v>
      </c>
      <c r="H95">
        <v>13</v>
      </c>
      <c r="I95" t="s">
        <v>49</v>
      </c>
      <c r="J95" t="s">
        <v>60</v>
      </c>
    </row>
    <row r="96" spans="1:10" x14ac:dyDescent="0.3">
      <c r="A96">
        <v>95</v>
      </c>
      <c r="B96" t="s">
        <v>3</v>
      </c>
      <c r="C96">
        <v>205</v>
      </c>
      <c r="D96">
        <v>17.468354430379701</v>
      </c>
      <c r="E96">
        <v>1.4789014488035299</v>
      </c>
      <c r="F96">
        <v>15.1898734177215</v>
      </c>
      <c r="G96">
        <v>19.746835443038002</v>
      </c>
      <c r="H96">
        <v>13</v>
      </c>
      <c r="I96" t="s">
        <v>49</v>
      </c>
      <c r="J96" t="s">
        <v>60</v>
      </c>
    </row>
    <row r="97" spans="1:10" x14ac:dyDescent="0.3">
      <c r="A97">
        <v>96</v>
      </c>
      <c r="B97" t="s">
        <v>27</v>
      </c>
      <c r="C97">
        <v>384</v>
      </c>
      <c r="D97">
        <v>17.658227848101301</v>
      </c>
      <c r="E97">
        <v>1.8079565641880599</v>
      </c>
      <c r="F97">
        <v>14.8101265822785</v>
      </c>
      <c r="G97">
        <v>20.5063291139241</v>
      </c>
      <c r="H97">
        <v>16</v>
      </c>
      <c r="I97" t="s">
        <v>57</v>
      </c>
      <c r="J97" t="s">
        <v>65</v>
      </c>
    </row>
    <row r="98" spans="1:10" x14ac:dyDescent="0.3">
      <c r="A98">
        <v>97</v>
      </c>
      <c r="B98" t="s">
        <v>3</v>
      </c>
      <c r="C98">
        <v>207</v>
      </c>
      <c r="D98">
        <v>17.658227848101301</v>
      </c>
      <c r="E98">
        <v>1.58859498709002</v>
      </c>
      <c r="F98">
        <v>15.1898734177215</v>
      </c>
      <c r="G98">
        <v>20.126582278480999</v>
      </c>
      <c r="H98">
        <v>14</v>
      </c>
      <c r="I98" t="s">
        <v>49</v>
      </c>
      <c r="J98" t="s">
        <v>60</v>
      </c>
    </row>
    <row r="99" spans="1:10" x14ac:dyDescent="0.3">
      <c r="A99">
        <v>98</v>
      </c>
      <c r="B99" t="s">
        <v>3</v>
      </c>
      <c r="C99">
        <v>208</v>
      </c>
      <c r="D99">
        <v>17.658227848101301</v>
      </c>
      <c r="E99">
        <v>1.58859498709002</v>
      </c>
      <c r="F99">
        <v>15.1898734177215</v>
      </c>
      <c r="G99">
        <v>20.126582278480999</v>
      </c>
      <c r="H99">
        <v>14</v>
      </c>
      <c r="I99" t="s">
        <v>49</v>
      </c>
      <c r="J99" t="s">
        <v>60</v>
      </c>
    </row>
    <row r="100" spans="1:10" x14ac:dyDescent="0.3">
      <c r="A100">
        <v>99</v>
      </c>
      <c r="B100" t="s">
        <v>28</v>
      </c>
      <c r="C100">
        <v>388</v>
      </c>
      <c r="D100">
        <v>17.848101265822802</v>
      </c>
      <c r="E100">
        <v>3.01414706323814</v>
      </c>
      <c r="F100">
        <v>12.9113924050633</v>
      </c>
      <c r="G100">
        <v>22.7848101265823</v>
      </c>
      <c r="H100">
        <v>27</v>
      </c>
      <c r="I100" t="s">
        <v>61</v>
      </c>
      <c r="J100" t="s">
        <v>62</v>
      </c>
    </row>
    <row r="101" spans="1:10" x14ac:dyDescent="0.3">
      <c r="A101">
        <v>100</v>
      </c>
      <c r="B101" t="s">
        <v>17</v>
      </c>
      <c r="C101">
        <v>306</v>
      </c>
      <c r="D101">
        <v>17.936708860759499</v>
      </c>
      <c r="E101">
        <v>1.1866371286337201</v>
      </c>
      <c r="F101">
        <v>16.126582278480999</v>
      </c>
      <c r="G101">
        <v>19.746835443038002</v>
      </c>
      <c r="H101">
        <v>12</v>
      </c>
      <c r="I101" t="s">
        <v>61</v>
      </c>
      <c r="J101" t="s">
        <v>72</v>
      </c>
    </row>
    <row r="102" spans="1:10" x14ac:dyDescent="0.3">
      <c r="A102">
        <v>101</v>
      </c>
      <c r="B102" t="s">
        <v>27</v>
      </c>
      <c r="C102">
        <v>386</v>
      </c>
      <c r="D102">
        <v>18.037974683544299</v>
      </c>
      <c r="E102">
        <v>1.8079565641880599</v>
      </c>
      <c r="F102">
        <v>15.1898734177215</v>
      </c>
      <c r="G102">
        <v>20.8860759493671</v>
      </c>
      <c r="H102">
        <v>16</v>
      </c>
      <c r="I102" t="s">
        <v>57</v>
      </c>
      <c r="J102" t="s">
        <v>65</v>
      </c>
    </row>
    <row r="103" spans="1:10" x14ac:dyDescent="0.3">
      <c r="A103">
        <v>102</v>
      </c>
      <c r="B103" t="s">
        <v>28</v>
      </c>
      <c r="C103">
        <v>390</v>
      </c>
      <c r="D103">
        <v>18.037974683544299</v>
      </c>
      <c r="E103">
        <v>3.3430664927200699</v>
      </c>
      <c r="F103">
        <v>12.5316455696203</v>
      </c>
      <c r="G103">
        <v>23.544303797468402</v>
      </c>
      <c r="H103">
        <v>30</v>
      </c>
      <c r="I103" t="s">
        <v>61</v>
      </c>
      <c r="J103" t="s">
        <v>62</v>
      </c>
    </row>
    <row r="104" spans="1:10" x14ac:dyDescent="0.3">
      <c r="A104">
        <v>103</v>
      </c>
      <c r="B104" t="s">
        <v>9</v>
      </c>
      <c r="C104">
        <v>244</v>
      </c>
      <c r="D104">
        <v>18.037974683544299</v>
      </c>
      <c r="E104">
        <v>2.2466125758606101</v>
      </c>
      <c r="F104">
        <v>14.430379746835399</v>
      </c>
      <c r="G104">
        <v>21.645569620253202</v>
      </c>
      <c r="H104">
        <v>20</v>
      </c>
      <c r="I104" t="s">
        <v>61</v>
      </c>
      <c r="J104" t="s">
        <v>62</v>
      </c>
    </row>
    <row r="105" spans="1:10" x14ac:dyDescent="0.3">
      <c r="A105">
        <v>104</v>
      </c>
      <c r="B105" t="s">
        <v>10</v>
      </c>
      <c r="C105">
        <v>255</v>
      </c>
      <c r="D105">
        <v>18.227848101265799</v>
      </c>
      <c r="E105">
        <v>1.6982794765821201</v>
      </c>
      <c r="F105">
        <v>15.569620253164601</v>
      </c>
      <c r="G105">
        <v>20.8860759493671</v>
      </c>
      <c r="H105">
        <v>15</v>
      </c>
      <c r="I105" t="s">
        <v>49</v>
      </c>
      <c r="J105" t="s">
        <v>66</v>
      </c>
    </row>
    <row r="106" spans="1:10" x14ac:dyDescent="0.3">
      <c r="A106">
        <v>105</v>
      </c>
      <c r="B106" t="s">
        <v>9</v>
      </c>
      <c r="C106">
        <v>241</v>
      </c>
      <c r="D106">
        <v>18.4177215189873</v>
      </c>
      <c r="E106">
        <v>2.4659189542757201</v>
      </c>
      <c r="F106">
        <v>14.430379746835399</v>
      </c>
      <c r="G106">
        <v>22.4050632911392</v>
      </c>
      <c r="H106">
        <v>22</v>
      </c>
      <c r="I106" t="s">
        <v>61</v>
      </c>
      <c r="J106" t="s">
        <v>62</v>
      </c>
    </row>
    <row r="107" spans="1:10" x14ac:dyDescent="0.3">
      <c r="A107">
        <v>106</v>
      </c>
      <c r="B107" t="s">
        <v>35</v>
      </c>
      <c r="C107">
        <v>432</v>
      </c>
      <c r="D107">
        <v>18.5126582278481</v>
      </c>
      <c r="E107">
        <v>2.42042065518645</v>
      </c>
      <c r="F107">
        <v>14.5569620253165</v>
      </c>
      <c r="G107">
        <v>22.468354430379701</v>
      </c>
      <c r="H107">
        <v>26</v>
      </c>
      <c r="I107" t="s">
        <v>49</v>
      </c>
      <c r="J107" t="s">
        <v>69</v>
      </c>
    </row>
    <row r="108" spans="1:10" x14ac:dyDescent="0.3">
      <c r="A108">
        <v>107</v>
      </c>
      <c r="B108" t="s">
        <v>8</v>
      </c>
      <c r="C108">
        <v>234</v>
      </c>
      <c r="D108">
        <v>18.6075949367089</v>
      </c>
      <c r="E108">
        <v>1.91762751994217</v>
      </c>
      <c r="F108">
        <v>15.569620253164601</v>
      </c>
      <c r="G108">
        <v>21.645569620253202</v>
      </c>
      <c r="H108">
        <v>17</v>
      </c>
      <c r="I108" t="s">
        <v>61</v>
      </c>
      <c r="J108" t="s">
        <v>67</v>
      </c>
    </row>
    <row r="109" spans="1:10" x14ac:dyDescent="0.3">
      <c r="A109">
        <v>108</v>
      </c>
      <c r="B109" t="s">
        <v>10</v>
      </c>
      <c r="C109">
        <v>254</v>
      </c>
      <c r="D109">
        <v>18.7974683544304</v>
      </c>
      <c r="E109">
        <v>1.8079565641880599</v>
      </c>
      <c r="F109">
        <v>15.9493670886076</v>
      </c>
      <c r="G109">
        <v>21.645569620253202</v>
      </c>
      <c r="H109">
        <v>16</v>
      </c>
      <c r="I109" t="s">
        <v>49</v>
      </c>
      <c r="J109" t="s">
        <v>66</v>
      </c>
    </row>
    <row r="110" spans="1:10" x14ac:dyDescent="0.3">
      <c r="A110">
        <v>109</v>
      </c>
      <c r="B110" t="s">
        <v>12</v>
      </c>
      <c r="C110">
        <v>269</v>
      </c>
      <c r="D110">
        <v>18.7974683544304</v>
      </c>
      <c r="E110">
        <v>2.9045047862237401</v>
      </c>
      <c r="F110">
        <v>14.0506329113924</v>
      </c>
      <c r="G110">
        <v>23.544303797468402</v>
      </c>
      <c r="H110">
        <v>26</v>
      </c>
      <c r="I110" t="s">
        <v>61</v>
      </c>
      <c r="J110" t="s">
        <v>62</v>
      </c>
    </row>
    <row r="111" spans="1:10" x14ac:dyDescent="0.3">
      <c r="A111">
        <v>110</v>
      </c>
      <c r="B111" t="s">
        <v>9</v>
      </c>
      <c r="C111">
        <v>242</v>
      </c>
      <c r="D111">
        <v>18.7974683544304</v>
      </c>
      <c r="E111">
        <v>2.68521562475904</v>
      </c>
      <c r="F111">
        <v>14.430379746835399</v>
      </c>
      <c r="G111">
        <v>23.164556962025301</v>
      </c>
      <c r="H111">
        <v>24</v>
      </c>
      <c r="I111" t="s">
        <v>61</v>
      </c>
      <c r="J111" t="s">
        <v>62</v>
      </c>
    </row>
    <row r="112" spans="1:10" x14ac:dyDescent="0.3">
      <c r="A112">
        <v>111</v>
      </c>
      <c r="B112" t="s">
        <v>5</v>
      </c>
      <c r="C112">
        <v>216</v>
      </c>
      <c r="D112">
        <v>18.835443037974699</v>
      </c>
      <c r="E112">
        <v>0.99219837682356604</v>
      </c>
      <c r="F112">
        <v>17.4177215189873</v>
      </c>
      <c r="G112">
        <v>20.253164556961998</v>
      </c>
      <c r="H112">
        <v>8</v>
      </c>
      <c r="I112" t="s">
        <v>61</v>
      </c>
      <c r="J112" t="s">
        <v>62</v>
      </c>
    </row>
    <row r="113" spans="1:10" x14ac:dyDescent="0.3">
      <c r="A113">
        <v>112</v>
      </c>
      <c r="B113" t="s">
        <v>31</v>
      </c>
      <c r="C113">
        <v>406</v>
      </c>
      <c r="D113">
        <v>18.835443037974699</v>
      </c>
      <c r="E113">
        <v>2.8880230681029899</v>
      </c>
      <c r="F113">
        <v>14.126582278480999</v>
      </c>
      <c r="G113">
        <v>23.544303797468402</v>
      </c>
      <c r="H113">
        <v>25</v>
      </c>
      <c r="I113" t="s">
        <v>61</v>
      </c>
      <c r="J113" t="s">
        <v>62</v>
      </c>
    </row>
    <row r="114" spans="1:10" x14ac:dyDescent="0.3">
      <c r="A114">
        <v>113</v>
      </c>
      <c r="B114" t="s">
        <v>0</v>
      </c>
      <c r="C114">
        <v>286</v>
      </c>
      <c r="D114">
        <v>18.962025316455701</v>
      </c>
      <c r="E114">
        <v>0.86817357972062104</v>
      </c>
      <c r="F114">
        <v>17.721518987341799</v>
      </c>
      <c r="G114">
        <v>20.2025316455696</v>
      </c>
      <c r="H114">
        <v>8</v>
      </c>
      <c r="I114" t="s">
        <v>61</v>
      </c>
      <c r="J114" t="s">
        <v>62</v>
      </c>
    </row>
    <row r="115" spans="1:10" x14ac:dyDescent="0.3">
      <c r="A115">
        <v>114</v>
      </c>
      <c r="B115" t="s">
        <v>12</v>
      </c>
      <c r="C115">
        <v>266</v>
      </c>
      <c r="D115">
        <v>18.9873417721519</v>
      </c>
      <c r="E115">
        <v>2.5755683480222502</v>
      </c>
      <c r="F115">
        <v>14.8101265822785</v>
      </c>
      <c r="G115">
        <v>23.164556962025301</v>
      </c>
      <c r="H115">
        <v>23</v>
      </c>
      <c r="I115" t="s">
        <v>61</v>
      </c>
      <c r="J115" t="s">
        <v>62</v>
      </c>
    </row>
    <row r="116" spans="1:10" x14ac:dyDescent="0.3">
      <c r="A116">
        <v>115</v>
      </c>
      <c r="B116" t="s">
        <v>22</v>
      </c>
      <c r="C116">
        <v>353</v>
      </c>
      <c r="D116">
        <v>18.9873417721519</v>
      </c>
      <c r="E116">
        <v>2.3562671479729498</v>
      </c>
      <c r="F116">
        <v>15.1898734177215</v>
      </c>
      <c r="G116">
        <v>22.7848101265823</v>
      </c>
      <c r="H116">
        <v>21</v>
      </c>
      <c r="I116" t="s">
        <v>55</v>
      </c>
      <c r="J116" t="s">
        <v>71</v>
      </c>
    </row>
    <row r="117" spans="1:10" x14ac:dyDescent="0.3">
      <c r="A117">
        <v>116</v>
      </c>
      <c r="B117" t="s">
        <v>22</v>
      </c>
      <c r="C117">
        <v>354</v>
      </c>
      <c r="D117">
        <v>18.9873417721519</v>
      </c>
      <c r="E117">
        <v>2.7948610336480502</v>
      </c>
      <c r="F117">
        <v>14.430379746835399</v>
      </c>
      <c r="G117">
        <v>23.544303797468402</v>
      </c>
      <c r="H117">
        <v>25</v>
      </c>
      <c r="I117" t="s">
        <v>55</v>
      </c>
      <c r="J117" t="s">
        <v>71</v>
      </c>
    </row>
    <row r="118" spans="1:10" x14ac:dyDescent="0.3">
      <c r="A118">
        <v>117</v>
      </c>
      <c r="B118" t="s">
        <v>8</v>
      </c>
      <c r="C118">
        <v>233</v>
      </c>
      <c r="D118">
        <v>18.9873417721519</v>
      </c>
      <c r="E118">
        <v>1.4789014488035299</v>
      </c>
      <c r="F118">
        <v>16.7088607594937</v>
      </c>
      <c r="G118">
        <v>21.265822784810101</v>
      </c>
      <c r="H118">
        <v>13</v>
      </c>
      <c r="I118" t="s">
        <v>61</v>
      </c>
      <c r="J118" t="s">
        <v>67</v>
      </c>
    </row>
    <row r="119" spans="1:10" x14ac:dyDescent="0.3">
      <c r="A119">
        <v>118</v>
      </c>
      <c r="B119" t="s">
        <v>9</v>
      </c>
      <c r="C119">
        <v>240</v>
      </c>
      <c r="D119">
        <v>18.9873417721519</v>
      </c>
      <c r="E119">
        <v>2.3562671479729498</v>
      </c>
      <c r="F119">
        <v>15.1898734177215</v>
      </c>
      <c r="G119">
        <v>22.7848101265823</v>
      </c>
      <c r="H119">
        <v>21</v>
      </c>
      <c r="I119" t="s">
        <v>61</v>
      </c>
      <c r="J119" t="s">
        <v>62</v>
      </c>
    </row>
    <row r="120" spans="1:10" x14ac:dyDescent="0.3">
      <c r="A120">
        <v>119</v>
      </c>
      <c r="B120" t="s">
        <v>9</v>
      </c>
      <c r="C120">
        <v>243</v>
      </c>
      <c r="D120">
        <v>18.9873417721519</v>
      </c>
      <c r="E120">
        <v>2.3562671479729498</v>
      </c>
      <c r="F120">
        <v>15.1898734177215</v>
      </c>
      <c r="G120">
        <v>22.7848101265823</v>
      </c>
      <c r="H120">
        <v>21</v>
      </c>
      <c r="I120" t="s">
        <v>61</v>
      </c>
      <c r="J120" t="s">
        <v>62</v>
      </c>
    </row>
    <row r="121" spans="1:10" x14ac:dyDescent="0.3">
      <c r="A121">
        <v>120</v>
      </c>
      <c r="B121" t="s">
        <v>19</v>
      </c>
      <c r="C121">
        <v>325</v>
      </c>
      <c r="D121">
        <v>19.037974683544299</v>
      </c>
      <c r="E121">
        <v>1.5774948787237699</v>
      </c>
      <c r="F121">
        <v>16.6075949367089</v>
      </c>
      <c r="G121">
        <v>21.468354430379701</v>
      </c>
      <c r="H121">
        <v>13</v>
      </c>
      <c r="I121" t="s">
        <v>49</v>
      </c>
      <c r="J121" t="s">
        <v>66</v>
      </c>
    </row>
    <row r="122" spans="1:10" x14ac:dyDescent="0.3">
      <c r="A122">
        <v>121</v>
      </c>
      <c r="B122" t="s">
        <v>20</v>
      </c>
      <c r="C122">
        <v>328</v>
      </c>
      <c r="D122">
        <v>19.050632911392398</v>
      </c>
      <c r="E122">
        <v>1.4693907299042901</v>
      </c>
      <c r="F122">
        <v>16.835443037974699</v>
      </c>
      <c r="G122">
        <v>21.265822784810101</v>
      </c>
      <c r="H122">
        <v>11</v>
      </c>
      <c r="I122" t="s">
        <v>49</v>
      </c>
      <c r="J122" t="s">
        <v>50</v>
      </c>
    </row>
    <row r="123" spans="1:10" x14ac:dyDescent="0.3">
      <c r="A123">
        <v>122</v>
      </c>
      <c r="B123" t="s">
        <v>17</v>
      </c>
      <c r="C123">
        <v>307</v>
      </c>
      <c r="D123">
        <v>19.0886075949367</v>
      </c>
      <c r="E123">
        <v>1.8520275038796901</v>
      </c>
      <c r="F123">
        <v>16.126582278480999</v>
      </c>
      <c r="G123">
        <v>22.050632911392398</v>
      </c>
      <c r="H123">
        <v>19</v>
      </c>
      <c r="I123" t="s">
        <v>61</v>
      </c>
      <c r="J123" t="s">
        <v>72</v>
      </c>
    </row>
    <row r="124" spans="1:10" x14ac:dyDescent="0.3">
      <c r="A124">
        <v>123</v>
      </c>
      <c r="B124" t="s">
        <v>35</v>
      </c>
      <c r="C124">
        <v>431</v>
      </c>
      <c r="D124">
        <v>19.145569620253202</v>
      </c>
      <c r="E124">
        <v>1.5066304701567199</v>
      </c>
      <c r="F124">
        <v>16.772151898734201</v>
      </c>
      <c r="G124">
        <v>21.518987341772199</v>
      </c>
      <c r="H124">
        <v>16</v>
      </c>
      <c r="I124" t="s">
        <v>49</v>
      </c>
      <c r="J124" t="s">
        <v>69</v>
      </c>
    </row>
    <row r="125" spans="1:10" x14ac:dyDescent="0.3">
      <c r="A125">
        <v>124</v>
      </c>
      <c r="B125" t="s">
        <v>31</v>
      </c>
      <c r="C125">
        <v>410</v>
      </c>
      <c r="D125">
        <v>19.227848101265799</v>
      </c>
      <c r="E125">
        <v>2.4348093862387099</v>
      </c>
      <c r="F125">
        <v>15.3037974683544</v>
      </c>
      <c r="G125">
        <v>23.151898734177198</v>
      </c>
      <c r="H125">
        <v>21</v>
      </c>
      <c r="I125" t="s">
        <v>61</v>
      </c>
      <c r="J125" t="s">
        <v>62</v>
      </c>
    </row>
    <row r="126" spans="1:10" x14ac:dyDescent="0.3">
      <c r="A126">
        <v>125</v>
      </c>
      <c r="B126" t="s">
        <v>20</v>
      </c>
      <c r="C126">
        <v>329</v>
      </c>
      <c r="D126">
        <v>19.272151898734201</v>
      </c>
      <c r="E126">
        <v>1.8533608182716901</v>
      </c>
      <c r="F126">
        <v>16.3924050632911</v>
      </c>
      <c r="G126">
        <v>22.151898734177198</v>
      </c>
      <c r="H126">
        <v>14</v>
      </c>
      <c r="I126" t="s">
        <v>49</v>
      </c>
      <c r="J126" t="s">
        <v>50</v>
      </c>
    </row>
    <row r="127" spans="1:10" x14ac:dyDescent="0.3">
      <c r="A127">
        <v>126</v>
      </c>
      <c r="B127" t="s">
        <v>20</v>
      </c>
      <c r="C127">
        <v>330</v>
      </c>
      <c r="D127">
        <v>19.272151898734201</v>
      </c>
      <c r="E127">
        <v>1.8533608182716901</v>
      </c>
      <c r="F127">
        <v>16.3924050632911</v>
      </c>
      <c r="G127">
        <v>22.151898734177198</v>
      </c>
      <c r="H127">
        <v>14</v>
      </c>
      <c r="I127" t="s">
        <v>49</v>
      </c>
      <c r="J127" t="s">
        <v>50</v>
      </c>
    </row>
    <row r="128" spans="1:10" x14ac:dyDescent="0.3">
      <c r="A128">
        <v>127</v>
      </c>
      <c r="B128" t="s">
        <v>20</v>
      </c>
      <c r="C128">
        <v>332</v>
      </c>
      <c r="D128">
        <v>19.272151898734201</v>
      </c>
      <c r="E128">
        <v>1.8533608182716901</v>
      </c>
      <c r="F128">
        <v>16.3924050632911</v>
      </c>
      <c r="G128">
        <v>22.151898734177198</v>
      </c>
      <c r="H128">
        <v>14</v>
      </c>
      <c r="I128" t="s">
        <v>49</v>
      </c>
      <c r="J128" t="s">
        <v>50</v>
      </c>
    </row>
    <row r="129" spans="1:10" x14ac:dyDescent="0.3">
      <c r="A129">
        <v>128</v>
      </c>
      <c r="B129" t="s">
        <v>28</v>
      </c>
      <c r="C129">
        <v>391</v>
      </c>
      <c r="D129">
        <v>19.367088607594901</v>
      </c>
      <c r="E129">
        <v>2.5755683480222502</v>
      </c>
      <c r="F129">
        <v>15.1898734177215</v>
      </c>
      <c r="G129">
        <v>23.544303797468402</v>
      </c>
      <c r="H129">
        <v>23</v>
      </c>
      <c r="I129" t="s">
        <v>61</v>
      </c>
      <c r="J129" t="s">
        <v>62</v>
      </c>
    </row>
    <row r="130" spans="1:10" x14ac:dyDescent="0.3">
      <c r="A130">
        <v>129</v>
      </c>
      <c r="B130" t="s">
        <v>22</v>
      </c>
      <c r="C130">
        <v>352</v>
      </c>
      <c r="D130">
        <v>19.367088607594901</v>
      </c>
      <c r="E130">
        <v>2.5755683480222502</v>
      </c>
      <c r="F130">
        <v>15.1898734177215</v>
      </c>
      <c r="G130">
        <v>23.544303797468402</v>
      </c>
      <c r="H130">
        <v>23</v>
      </c>
      <c r="I130" t="s">
        <v>55</v>
      </c>
      <c r="J130" t="s">
        <v>71</v>
      </c>
    </row>
    <row r="131" spans="1:10" x14ac:dyDescent="0.3">
      <c r="A131">
        <v>130</v>
      </c>
      <c r="B131" t="s">
        <v>22</v>
      </c>
      <c r="C131">
        <v>357</v>
      </c>
      <c r="D131">
        <v>19.367088607594901</v>
      </c>
      <c r="E131">
        <v>2.5755683480222502</v>
      </c>
      <c r="F131">
        <v>15.1898734177215</v>
      </c>
      <c r="G131">
        <v>23.544303797468402</v>
      </c>
      <c r="H131">
        <v>23</v>
      </c>
      <c r="I131" t="s">
        <v>55</v>
      </c>
      <c r="J131" t="s">
        <v>71</v>
      </c>
    </row>
    <row r="132" spans="1:10" x14ac:dyDescent="0.3">
      <c r="A132">
        <v>131</v>
      </c>
      <c r="B132" t="s">
        <v>11</v>
      </c>
      <c r="C132">
        <v>258</v>
      </c>
      <c r="D132">
        <v>19.424050632911399</v>
      </c>
      <c r="E132">
        <v>1.74745448579902</v>
      </c>
      <c r="F132">
        <v>16.7088607594937</v>
      </c>
      <c r="G132">
        <v>22.139240506329099</v>
      </c>
      <c r="H132">
        <v>14</v>
      </c>
      <c r="I132" t="s">
        <v>61</v>
      </c>
      <c r="J132" t="s">
        <v>62</v>
      </c>
    </row>
    <row r="133" spans="1:10" x14ac:dyDescent="0.3">
      <c r="A133">
        <v>132</v>
      </c>
      <c r="B133" t="s">
        <v>23</v>
      </c>
      <c r="C133">
        <v>360</v>
      </c>
      <c r="D133">
        <v>19.4936708860759</v>
      </c>
      <c r="E133">
        <v>2.4931139475303601</v>
      </c>
      <c r="F133">
        <v>15.506329113924</v>
      </c>
      <c r="G133">
        <v>23.481012658227801</v>
      </c>
      <c r="H133">
        <v>19</v>
      </c>
      <c r="I133" t="s">
        <v>73</v>
      </c>
      <c r="J133" t="s">
        <v>74</v>
      </c>
    </row>
    <row r="134" spans="1:10" x14ac:dyDescent="0.3">
      <c r="A134">
        <v>133</v>
      </c>
      <c r="B134" t="s">
        <v>17</v>
      </c>
      <c r="C134">
        <v>304</v>
      </c>
      <c r="D134">
        <v>19.5822784810127</v>
      </c>
      <c r="E134">
        <v>1.94706423241253</v>
      </c>
      <c r="F134">
        <v>16.455696202531598</v>
      </c>
      <c r="G134">
        <v>22.7088607594937</v>
      </c>
      <c r="H134">
        <v>20</v>
      </c>
      <c r="I134" t="s">
        <v>61</v>
      </c>
      <c r="J134" t="s">
        <v>72</v>
      </c>
    </row>
    <row r="135" spans="1:10" x14ac:dyDescent="0.3">
      <c r="A135">
        <v>134</v>
      </c>
      <c r="B135" t="s">
        <v>35</v>
      </c>
      <c r="C135">
        <v>433</v>
      </c>
      <c r="D135">
        <v>19.778481012658201</v>
      </c>
      <c r="E135">
        <v>2.05493246189643</v>
      </c>
      <c r="F135">
        <v>16.455696202531598</v>
      </c>
      <c r="G135">
        <v>23.1012658227848</v>
      </c>
      <c r="H135">
        <v>22</v>
      </c>
      <c r="I135" t="s">
        <v>49</v>
      </c>
      <c r="J135" t="s">
        <v>69</v>
      </c>
    </row>
    <row r="136" spans="1:10" x14ac:dyDescent="0.3">
      <c r="A136">
        <v>135</v>
      </c>
      <c r="B136" t="s">
        <v>26</v>
      </c>
      <c r="C136">
        <v>379</v>
      </c>
      <c r="D136">
        <v>19.8164556962025</v>
      </c>
      <c r="E136">
        <v>2.0948697836263999</v>
      </c>
      <c r="F136">
        <v>16.481012658227801</v>
      </c>
      <c r="G136">
        <v>23.151898734177198</v>
      </c>
      <c r="H136">
        <v>18</v>
      </c>
      <c r="I136" t="s">
        <v>61</v>
      </c>
      <c r="J136" t="s">
        <v>62</v>
      </c>
    </row>
    <row r="137" spans="1:10" x14ac:dyDescent="0.3">
      <c r="A137">
        <v>136</v>
      </c>
      <c r="B137" t="s">
        <v>36</v>
      </c>
      <c r="C137">
        <v>434</v>
      </c>
      <c r="D137">
        <v>19.873417721519001</v>
      </c>
      <c r="E137">
        <v>0.17901437498393499</v>
      </c>
      <c r="F137">
        <v>19.746835443038002</v>
      </c>
      <c r="G137">
        <v>20</v>
      </c>
      <c r="H137">
        <v>2</v>
      </c>
      <c r="I137" t="s">
        <v>49</v>
      </c>
      <c r="J137" t="s">
        <v>52</v>
      </c>
    </row>
    <row r="138" spans="1:10" x14ac:dyDescent="0.3">
      <c r="A138">
        <v>137</v>
      </c>
      <c r="B138" t="s">
        <v>12</v>
      </c>
      <c r="C138">
        <v>264</v>
      </c>
      <c r="D138">
        <v>19.936708860759499</v>
      </c>
      <c r="E138">
        <v>2.4659189542757201</v>
      </c>
      <c r="F138">
        <v>15.9493670886076</v>
      </c>
      <c r="G138">
        <v>23.924050632911399</v>
      </c>
      <c r="H138">
        <v>22</v>
      </c>
      <c r="I138" t="s">
        <v>61</v>
      </c>
      <c r="J138" t="s">
        <v>62</v>
      </c>
    </row>
    <row r="139" spans="1:10" x14ac:dyDescent="0.3">
      <c r="A139">
        <v>138</v>
      </c>
      <c r="B139" t="s">
        <v>22</v>
      </c>
      <c r="C139">
        <v>356</v>
      </c>
      <c r="D139">
        <v>19.936708860759499</v>
      </c>
      <c r="E139">
        <v>2.0272933389932901</v>
      </c>
      <c r="F139">
        <v>16.7088607594937</v>
      </c>
      <c r="G139">
        <v>23.164556962025301</v>
      </c>
      <c r="H139">
        <v>18</v>
      </c>
      <c r="I139" t="s">
        <v>55</v>
      </c>
      <c r="J139" t="s">
        <v>71</v>
      </c>
    </row>
    <row r="140" spans="1:10" x14ac:dyDescent="0.3">
      <c r="A140">
        <v>139</v>
      </c>
      <c r="B140" t="s">
        <v>1</v>
      </c>
      <c r="C140">
        <v>193</v>
      </c>
      <c r="D140">
        <v>19.993670886076</v>
      </c>
      <c r="E140">
        <v>1.77995569295058</v>
      </c>
      <c r="F140">
        <v>17.278481012658201</v>
      </c>
      <c r="G140">
        <v>22.7088607594937</v>
      </c>
      <c r="H140">
        <v>12</v>
      </c>
      <c r="I140" t="s">
        <v>57</v>
      </c>
      <c r="J140" t="s">
        <v>75</v>
      </c>
    </row>
    <row r="141" spans="1:10" x14ac:dyDescent="0.3">
      <c r="A141">
        <v>140</v>
      </c>
      <c r="B141" t="s">
        <v>31</v>
      </c>
      <c r="C141">
        <v>408</v>
      </c>
      <c r="D141">
        <v>20.0126582278481</v>
      </c>
      <c r="E141">
        <v>3.1146186320127498</v>
      </c>
      <c r="F141">
        <v>14.9113924050633</v>
      </c>
      <c r="G141">
        <v>25.1139240506329</v>
      </c>
      <c r="H141">
        <v>27</v>
      </c>
      <c r="I141" t="s">
        <v>61</v>
      </c>
      <c r="J141" t="s">
        <v>62</v>
      </c>
    </row>
    <row r="142" spans="1:10" x14ac:dyDescent="0.3">
      <c r="A142">
        <v>141</v>
      </c>
      <c r="B142" t="s">
        <v>26</v>
      </c>
      <c r="C142">
        <v>381</v>
      </c>
      <c r="D142">
        <v>20.0126582278481</v>
      </c>
      <c r="E142">
        <v>3.1146186320127498</v>
      </c>
      <c r="F142">
        <v>14.9113924050633</v>
      </c>
      <c r="G142">
        <v>25.1139240506329</v>
      </c>
      <c r="H142">
        <v>27</v>
      </c>
      <c r="I142" t="s">
        <v>61</v>
      </c>
      <c r="J142" t="s">
        <v>62</v>
      </c>
    </row>
    <row r="143" spans="1:10" x14ac:dyDescent="0.3">
      <c r="A143">
        <v>142</v>
      </c>
      <c r="B143" t="s">
        <v>2</v>
      </c>
      <c r="C143">
        <v>201</v>
      </c>
      <c r="D143">
        <v>20.0126582278481</v>
      </c>
      <c r="E143">
        <v>2.29759911752573</v>
      </c>
      <c r="F143">
        <v>16.354430379746798</v>
      </c>
      <c r="G143">
        <v>23.670886075949401</v>
      </c>
      <c r="H143">
        <v>18</v>
      </c>
      <c r="I143" t="s">
        <v>61</v>
      </c>
      <c r="J143" t="s">
        <v>76</v>
      </c>
    </row>
    <row r="144" spans="1:10" x14ac:dyDescent="0.3">
      <c r="A144">
        <v>143</v>
      </c>
      <c r="B144" t="s">
        <v>17</v>
      </c>
      <c r="C144">
        <v>308</v>
      </c>
      <c r="D144">
        <v>20.075949367088601</v>
      </c>
      <c r="E144">
        <v>2.2321592349526198</v>
      </c>
      <c r="F144">
        <v>16.455696202531598</v>
      </c>
      <c r="G144">
        <v>23.6962025316456</v>
      </c>
      <c r="H144">
        <v>23</v>
      </c>
      <c r="I144" t="s">
        <v>61</v>
      </c>
      <c r="J144" t="s">
        <v>72</v>
      </c>
    </row>
    <row r="145" spans="1:10" x14ac:dyDescent="0.3">
      <c r="A145">
        <v>144</v>
      </c>
      <c r="B145" t="s">
        <v>20</v>
      </c>
      <c r="C145">
        <v>331</v>
      </c>
      <c r="D145">
        <v>20.158227848101301</v>
      </c>
      <c r="E145">
        <v>1.59739613469924</v>
      </c>
      <c r="F145">
        <v>17.721518987341799</v>
      </c>
      <c r="G145">
        <v>22.5949367088608</v>
      </c>
      <c r="H145">
        <v>12</v>
      </c>
      <c r="I145" t="s">
        <v>49</v>
      </c>
      <c r="J145" t="s">
        <v>50</v>
      </c>
    </row>
    <row r="146" spans="1:10" x14ac:dyDescent="0.3">
      <c r="A146">
        <v>145</v>
      </c>
      <c r="B146" t="s">
        <v>20</v>
      </c>
      <c r="C146">
        <v>333</v>
      </c>
      <c r="D146">
        <v>20.158227848101301</v>
      </c>
      <c r="E146">
        <v>1.59739613469924</v>
      </c>
      <c r="F146">
        <v>17.721518987341799</v>
      </c>
      <c r="G146">
        <v>22.5949367088608</v>
      </c>
      <c r="H146">
        <v>12</v>
      </c>
      <c r="I146" t="s">
        <v>49</v>
      </c>
      <c r="J146" t="s">
        <v>50</v>
      </c>
    </row>
    <row r="147" spans="1:10" x14ac:dyDescent="0.3">
      <c r="A147">
        <v>146</v>
      </c>
      <c r="B147" t="s">
        <v>0</v>
      </c>
      <c r="C147">
        <v>174</v>
      </c>
      <c r="D147">
        <v>20.278481012658201</v>
      </c>
      <c r="E147">
        <v>2.69593509103274</v>
      </c>
      <c r="F147">
        <v>15.9493670886076</v>
      </c>
      <c r="G147">
        <v>24.6075949367089</v>
      </c>
      <c r="H147">
        <v>20</v>
      </c>
      <c r="I147" t="s">
        <v>61</v>
      </c>
      <c r="J147" t="s">
        <v>62</v>
      </c>
    </row>
    <row r="148" spans="1:10" x14ac:dyDescent="0.3">
      <c r="A148">
        <v>147</v>
      </c>
      <c r="B148" t="s">
        <v>28</v>
      </c>
      <c r="C148">
        <v>393</v>
      </c>
      <c r="D148">
        <v>20.3164556962025</v>
      </c>
      <c r="E148">
        <v>2.68521562475904</v>
      </c>
      <c r="F148">
        <v>15.9493670886076</v>
      </c>
      <c r="G148">
        <v>24.6835443037975</v>
      </c>
      <c r="H148">
        <v>24</v>
      </c>
      <c r="I148" t="s">
        <v>61</v>
      </c>
      <c r="J148" t="s">
        <v>62</v>
      </c>
    </row>
    <row r="149" spans="1:10" x14ac:dyDescent="0.3">
      <c r="A149">
        <v>148</v>
      </c>
      <c r="B149" t="s">
        <v>12</v>
      </c>
      <c r="C149">
        <v>268</v>
      </c>
      <c r="D149">
        <v>20.3164556962025</v>
      </c>
      <c r="E149">
        <v>2.4659189542757201</v>
      </c>
      <c r="F149">
        <v>16.329113924050599</v>
      </c>
      <c r="G149">
        <v>24.3037974683544</v>
      </c>
      <c r="H149">
        <v>22</v>
      </c>
      <c r="I149" t="s">
        <v>61</v>
      </c>
      <c r="J149" t="s">
        <v>62</v>
      </c>
    </row>
    <row r="150" spans="1:10" x14ac:dyDescent="0.3">
      <c r="A150">
        <v>149</v>
      </c>
      <c r="B150" t="s">
        <v>31</v>
      </c>
      <c r="C150">
        <v>409</v>
      </c>
      <c r="D150">
        <v>20.4050632911392</v>
      </c>
      <c r="E150">
        <v>2.8880230681029899</v>
      </c>
      <c r="F150">
        <v>15.6962025316456</v>
      </c>
      <c r="G150">
        <v>25.1139240506329</v>
      </c>
      <c r="H150">
        <v>25</v>
      </c>
      <c r="I150" t="s">
        <v>61</v>
      </c>
      <c r="J150" t="s">
        <v>62</v>
      </c>
    </row>
    <row r="151" spans="1:10" x14ac:dyDescent="0.3">
      <c r="A151">
        <v>150</v>
      </c>
      <c r="B151" t="s">
        <v>26</v>
      </c>
      <c r="C151">
        <v>376</v>
      </c>
      <c r="D151">
        <v>20.4050632911392</v>
      </c>
      <c r="E151">
        <v>3.3412087173653102</v>
      </c>
      <c r="F151">
        <v>14.9113924050633</v>
      </c>
      <c r="G151">
        <v>25.8987341772152</v>
      </c>
      <c r="H151">
        <v>29</v>
      </c>
      <c r="I151" t="s">
        <v>61</v>
      </c>
      <c r="J151" t="s">
        <v>62</v>
      </c>
    </row>
    <row r="152" spans="1:10" x14ac:dyDescent="0.3">
      <c r="A152">
        <v>151</v>
      </c>
      <c r="B152" t="s">
        <v>12</v>
      </c>
      <c r="C152">
        <v>265</v>
      </c>
      <c r="D152">
        <v>20.5063291139241</v>
      </c>
      <c r="E152">
        <v>2.5755683480222502</v>
      </c>
      <c r="F152">
        <v>16.329113924050599</v>
      </c>
      <c r="G152">
        <v>24.6835443037975</v>
      </c>
      <c r="H152">
        <v>23</v>
      </c>
      <c r="I152" t="s">
        <v>61</v>
      </c>
      <c r="J152" t="s">
        <v>62</v>
      </c>
    </row>
    <row r="153" spans="1:10" x14ac:dyDescent="0.3">
      <c r="A153">
        <v>152</v>
      </c>
      <c r="B153" t="s">
        <v>11</v>
      </c>
      <c r="C153">
        <v>259</v>
      </c>
      <c r="D153">
        <v>20.677215189873401</v>
      </c>
      <c r="E153">
        <v>1.98875222060687</v>
      </c>
      <c r="F153">
        <v>17.544303797468402</v>
      </c>
      <c r="G153">
        <v>23.8101265822785</v>
      </c>
      <c r="H153">
        <v>16</v>
      </c>
      <c r="I153" t="s">
        <v>61</v>
      </c>
      <c r="J153" t="s">
        <v>62</v>
      </c>
    </row>
    <row r="154" spans="1:10" x14ac:dyDescent="0.3">
      <c r="A154">
        <v>153</v>
      </c>
      <c r="B154" t="s">
        <v>1</v>
      </c>
      <c r="C154">
        <v>192</v>
      </c>
      <c r="D154">
        <v>20.734177215189899</v>
      </c>
      <c r="E154">
        <v>1.6373210990362099</v>
      </c>
      <c r="F154">
        <v>18.265822784810101</v>
      </c>
      <c r="G154">
        <v>23.2025316455696</v>
      </c>
      <c r="H154">
        <v>11</v>
      </c>
      <c r="I154" t="s">
        <v>57</v>
      </c>
      <c r="J154" t="s">
        <v>75</v>
      </c>
    </row>
    <row r="155" spans="1:10" x14ac:dyDescent="0.3">
      <c r="A155">
        <v>154</v>
      </c>
      <c r="B155" t="s">
        <v>0</v>
      </c>
      <c r="C155">
        <v>311</v>
      </c>
      <c r="D155">
        <v>20.822784810126599</v>
      </c>
      <c r="E155">
        <v>2.7489783393017699</v>
      </c>
      <c r="F155">
        <v>16.3924050632911</v>
      </c>
      <c r="G155">
        <v>25.253164556961998</v>
      </c>
      <c r="H155">
        <v>21</v>
      </c>
      <c r="I155" t="s">
        <v>61</v>
      </c>
      <c r="J155" t="s">
        <v>62</v>
      </c>
    </row>
    <row r="156" spans="1:10" x14ac:dyDescent="0.3">
      <c r="A156">
        <v>155</v>
      </c>
      <c r="B156" t="s">
        <v>0</v>
      </c>
      <c r="C156">
        <v>344</v>
      </c>
      <c r="D156">
        <v>20.822784810126599</v>
      </c>
      <c r="E156">
        <v>1.9813260560124699</v>
      </c>
      <c r="F156">
        <v>17.721518987341799</v>
      </c>
      <c r="G156">
        <v>23.924050632911399</v>
      </c>
      <c r="H156">
        <v>15</v>
      </c>
      <c r="I156" t="s">
        <v>61</v>
      </c>
      <c r="J156" t="s">
        <v>62</v>
      </c>
    </row>
    <row r="157" spans="1:10" x14ac:dyDescent="0.3">
      <c r="A157">
        <v>156</v>
      </c>
      <c r="B157" t="s">
        <v>8</v>
      </c>
      <c r="C157">
        <v>236</v>
      </c>
      <c r="D157">
        <v>20.8860759493671</v>
      </c>
      <c r="E157">
        <v>2.3562671479729498</v>
      </c>
      <c r="F157">
        <v>17.0886075949367</v>
      </c>
      <c r="G157">
        <v>24.6835443037975</v>
      </c>
      <c r="H157">
        <v>21</v>
      </c>
      <c r="I157" t="s">
        <v>61</v>
      </c>
      <c r="J157" t="s">
        <v>67</v>
      </c>
    </row>
    <row r="158" spans="1:10" x14ac:dyDescent="0.3">
      <c r="A158">
        <v>157</v>
      </c>
      <c r="B158" t="s">
        <v>0</v>
      </c>
      <c r="C158">
        <v>175</v>
      </c>
      <c r="D158">
        <v>20.962025316455701</v>
      </c>
      <c r="E158">
        <v>1.7746817385642399</v>
      </c>
      <c r="F158">
        <v>18.227848101265799</v>
      </c>
      <c r="G158">
        <v>23.6962025316456</v>
      </c>
      <c r="H158">
        <v>13</v>
      </c>
      <c r="I158" t="s">
        <v>61</v>
      </c>
      <c r="J158" t="s">
        <v>62</v>
      </c>
    </row>
    <row r="159" spans="1:10" x14ac:dyDescent="0.3">
      <c r="A159">
        <v>158</v>
      </c>
      <c r="B159" t="s">
        <v>31</v>
      </c>
      <c r="C159">
        <v>411</v>
      </c>
      <c r="D159">
        <v>20.9936708860759</v>
      </c>
      <c r="E159">
        <v>3.0013216124311999</v>
      </c>
      <c r="F159">
        <v>16.0886075949367</v>
      </c>
      <c r="G159">
        <v>25.8987341772152</v>
      </c>
      <c r="H159">
        <v>26</v>
      </c>
      <c r="I159" t="s">
        <v>61</v>
      </c>
      <c r="J159" t="s">
        <v>62</v>
      </c>
    </row>
    <row r="160" spans="1:10" x14ac:dyDescent="0.3">
      <c r="A160">
        <v>159</v>
      </c>
      <c r="B160" t="s">
        <v>0</v>
      </c>
      <c r="C160">
        <v>250</v>
      </c>
      <c r="D160">
        <v>21.0886075949367</v>
      </c>
      <c r="E160">
        <v>2.6704361010360098</v>
      </c>
      <c r="F160">
        <v>16.7848101265823</v>
      </c>
      <c r="G160">
        <v>25.3924050632911</v>
      </c>
      <c r="H160">
        <v>21</v>
      </c>
      <c r="I160" t="s">
        <v>61</v>
      </c>
      <c r="J160" t="s">
        <v>62</v>
      </c>
    </row>
    <row r="161" spans="1:10" x14ac:dyDescent="0.3">
      <c r="A161">
        <v>160</v>
      </c>
      <c r="B161" t="s">
        <v>2</v>
      </c>
      <c r="C161">
        <v>199</v>
      </c>
      <c r="D161">
        <v>21.0886075949367</v>
      </c>
      <c r="E161">
        <v>2.9189774610918899</v>
      </c>
      <c r="F161">
        <v>16.354430379746798</v>
      </c>
      <c r="G161">
        <v>25.822784810126599</v>
      </c>
      <c r="H161">
        <v>23</v>
      </c>
      <c r="I161" t="s">
        <v>61</v>
      </c>
      <c r="J161" t="s">
        <v>76</v>
      </c>
    </row>
    <row r="162" spans="1:10" x14ac:dyDescent="0.3">
      <c r="A162">
        <v>161</v>
      </c>
      <c r="B162" t="s">
        <v>26</v>
      </c>
      <c r="C162">
        <v>377</v>
      </c>
      <c r="D162">
        <v>21.1898734177215</v>
      </c>
      <c r="E162">
        <v>2.8880230681029899</v>
      </c>
      <c r="F162">
        <v>16.481012658227801</v>
      </c>
      <c r="G162">
        <v>25.8987341772152</v>
      </c>
      <c r="H162">
        <v>25</v>
      </c>
      <c r="I162" t="s">
        <v>61</v>
      </c>
      <c r="J162" t="s">
        <v>62</v>
      </c>
    </row>
    <row r="163" spans="1:10" x14ac:dyDescent="0.3">
      <c r="A163">
        <v>162</v>
      </c>
      <c r="B163" t="s">
        <v>4</v>
      </c>
      <c r="C163">
        <v>211</v>
      </c>
      <c r="D163">
        <v>21.3037974683544</v>
      </c>
      <c r="E163">
        <v>2.5461609193086998</v>
      </c>
      <c r="F163">
        <v>17.2151898734177</v>
      </c>
      <c r="G163">
        <v>25.3924050632911</v>
      </c>
      <c r="H163">
        <v>20</v>
      </c>
      <c r="I163" t="s">
        <v>61</v>
      </c>
      <c r="J163" t="s">
        <v>72</v>
      </c>
    </row>
    <row r="164" spans="1:10" x14ac:dyDescent="0.3">
      <c r="A164">
        <v>163</v>
      </c>
      <c r="B164" t="s">
        <v>4</v>
      </c>
      <c r="C164">
        <v>212</v>
      </c>
      <c r="D164">
        <v>21.3037974683544</v>
      </c>
      <c r="E164">
        <v>2.29759911752573</v>
      </c>
      <c r="F164">
        <v>17.645569620253202</v>
      </c>
      <c r="G164">
        <v>24.962025316455701</v>
      </c>
      <c r="H164">
        <v>18</v>
      </c>
      <c r="I164" t="s">
        <v>61</v>
      </c>
      <c r="J164" t="s">
        <v>72</v>
      </c>
    </row>
    <row r="165" spans="1:10" x14ac:dyDescent="0.3">
      <c r="A165">
        <v>164</v>
      </c>
      <c r="B165" t="s">
        <v>0</v>
      </c>
      <c r="C165">
        <v>288</v>
      </c>
      <c r="D165">
        <v>21.3924050632911</v>
      </c>
      <c r="E165">
        <v>2.0420981949098902</v>
      </c>
      <c r="F165">
        <v>18.1012658227848</v>
      </c>
      <c r="G165">
        <v>24.6835443037975</v>
      </c>
      <c r="H165">
        <v>21</v>
      </c>
      <c r="I165" t="s">
        <v>61</v>
      </c>
      <c r="J165" t="s">
        <v>62</v>
      </c>
    </row>
    <row r="166" spans="1:10" x14ac:dyDescent="0.3">
      <c r="A166">
        <v>165</v>
      </c>
      <c r="B166" t="s">
        <v>0</v>
      </c>
      <c r="C166">
        <v>289</v>
      </c>
      <c r="D166">
        <v>21.3924050632911</v>
      </c>
      <c r="E166">
        <v>2.0420981949098902</v>
      </c>
      <c r="F166">
        <v>18.1012658227848</v>
      </c>
      <c r="G166">
        <v>24.6835443037975</v>
      </c>
      <c r="H166">
        <v>21</v>
      </c>
      <c r="I166" t="s">
        <v>61</v>
      </c>
      <c r="J166" t="s">
        <v>62</v>
      </c>
    </row>
    <row r="167" spans="1:10" x14ac:dyDescent="0.3">
      <c r="A167">
        <v>166</v>
      </c>
      <c r="B167" t="s">
        <v>17</v>
      </c>
      <c r="C167">
        <v>309</v>
      </c>
      <c r="D167">
        <v>21.3924050632911</v>
      </c>
      <c r="E167">
        <v>2.0420981949098902</v>
      </c>
      <c r="F167">
        <v>18.1012658227848</v>
      </c>
      <c r="G167">
        <v>24.6835443037975</v>
      </c>
      <c r="H167">
        <v>21</v>
      </c>
      <c r="I167" t="s">
        <v>61</v>
      </c>
      <c r="J167" t="s">
        <v>72</v>
      </c>
    </row>
    <row r="168" spans="1:10" x14ac:dyDescent="0.3">
      <c r="A168">
        <v>167</v>
      </c>
      <c r="B168" t="s">
        <v>12</v>
      </c>
      <c r="C168">
        <v>267</v>
      </c>
      <c r="D168">
        <v>21.455696202531598</v>
      </c>
      <c r="E168">
        <v>2.68521562475904</v>
      </c>
      <c r="F168">
        <v>17.0886075949367</v>
      </c>
      <c r="G168">
        <v>25.822784810126599</v>
      </c>
      <c r="H168">
        <v>24</v>
      </c>
      <c r="I168" t="s">
        <v>61</v>
      </c>
      <c r="J168" t="s">
        <v>62</v>
      </c>
    </row>
    <row r="169" spans="1:10" x14ac:dyDescent="0.3">
      <c r="A169">
        <v>168</v>
      </c>
      <c r="B169" t="s">
        <v>5</v>
      </c>
      <c r="C169">
        <v>219</v>
      </c>
      <c r="D169">
        <v>21.468354430379701</v>
      </c>
      <c r="E169">
        <v>1.8114981083542601</v>
      </c>
      <c r="F169">
        <v>18.632911392405099</v>
      </c>
      <c r="G169">
        <v>24.3037974683544</v>
      </c>
      <c r="H169">
        <v>15</v>
      </c>
      <c r="I169" t="s">
        <v>61</v>
      </c>
      <c r="J169" t="s">
        <v>62</v>
      </c>
    </row>
    <row r="170" spans="1:10" x14ac:dyDescent="0.3">
      <c r="A170">
        <v>169</v>
      </c>
      <c r="B170" t="s">
        <v>0</v>
      </c>
      <c r="C170">
        <v>315</v>
      </c>
      <c r="D170">
        <v>21.4873417721519</v>
      </c>
      <c r="E170">
        <v>2.36517556215883</v>
      </c>
      <c r="F170">
        <v>17.721518987341799</v>
      </c>
      <c r="G170">
        <v>25.253164556961998</v>
      </c>
      <c r="H170">
        <v>18</v>
      </c>
      <c r="I170" t="s">
        <v>61</v>
      </c>
      <c r="J170" t="s">
        <v>62</v>
      </c>
    </row>
    <row r="171" spans="1:10" x14ac:dyDescent="0.3">
      <c r="A171">
        <v>170</v>
      </c>
      <c r="B171" t="s">
        <v>0</v>
      </c>
      <c r="C171">
        <v>340</v>
      </c>
      <c r="D171">
        <v>21.4873417721519</v>
      </c>
      <c r="E171">
        <v>2.36517556215883</v>
      </c>
      <c r="F171">
        <v>17.721518987341799</v>
      </c>
      <c r="G171">
        <v>25.253164556961998</v>
      </c>
      <c r="H171">
        <v>18</v>
      </c>
      <c r="I171" t="s">
        <v>61</v>
      </c>
      <c r="J171" t="s">
        <v>62</v>
      </c>
    </row>
    <row r="172" spans="1:10" x14ac:dyDescent="0.3">
      <c r="A172">
        <v>171</v>
      </c>
      <c r="B172" t="s">
        <v>23</v>
      </c>
      <c r="C172">
        <v>362</v>
      </c>
      <c r="D172">
        <v>21.4873417721519</v>
      </c>
      <c r="E172">
        <v>2.6210480051707199</v>
      </c>
      <c r="F172">
        <v>17.278481012658201</v>
      </c>
      <c r="G172">
        <v>25.6962025316456</v>
      </c>
      <c r="H172">
        <v>20</v>
      </c>
      <c r="I172" t="s">
        <v>73</v>
      </c>
      <c r="J172" t="s">
        <v>74</v>
      </c>
    </row>
    <row r="173" spans="1:10" x14ac:dyDescent="0.3">
      <c r="A173">
        <v>172</v>
      </c>
      <c r="B173" t="s">
        <v>11</v>
      </c>
      <c r="C173">
        <v>261</v>
      </c>
      <c r="D173">
        <v>21.5126582278481</v>
      </c>
      <c r="E173">
        <v>1.98875222060687</v>
      </c>
      <c r="F173">
        <v>18.379746835443001</v>
      </c>
      <c r="G173">
        <v>24.645569620253202</v>
      </c>
      <c r="H173">
        <v>16</v>
      </c>
      <c r="I173" t="s">
        <v>61</v>
      </c>
      <c r="J173" t="s">
        <v>62</v>
      </c>
    </row>
    <row r="174" spans="1:10" x14ac:dyDescent="0.3">
      <c r="A174">
        <v>173</v>
      </c>
      <c r="B174" t="s">
        <v>4</v>
      </c>
      <c r="C174">
        <v>209</v>
      </c>
      <c r="D174">
        <v>21.518987341772199</v>
      </c>
      <c r="E174">
        <v>2.4218821204580601</v>
      </c>
      <c r="F174">
        <v>17.645569620253202</v>
      </c>
      <c r="G174">
        <v>25.3924050632911</v>
      </c>
      <c r="H174">
        <v>19</v>
      </c>
      <c r="I174" t="s">
        <v>61</v>
      </c>
      <c r="J174" t="s">
        <v>72</v>
      </c>
    </row>
    <row r="175" spans="1:10" x14ac:dyDescent="0.3">
      <c r="A175">
        <v>174</v>
      </c>
      <c r="B175" t="s">
        <v>4</v>
      </c>
      <c r="C175">
        <v>214</v>
      </c>
      <c r="D175">
        <v>21.518987341772199</v>
      </c>
      <c r="E175">
        <v>2.6704361010360098</v>
      </c>
      <c r="F175">
        <v>17.2151898734177</v>
      </c>
      <c r="G175">
        <v>25.822784810126599</v>
      </c>
      <c r="H175">
        <v>21</v>
      </c>
      <c r="I175" t="s">
        <v>61</v>
      </c>
      <c r="J175" t="s">
        <v>72</v>
      </c>
    </row>
    <row r="176" spans="1:10" x14ac:dyDescent="0.3">
      <c r="A176">
        <v>175</v>
      </c>
      <c r="B176" t="s">
        <v>24</v>
      </c>
      <c r="C176">
        <v>365</v>
      </c>
      <c r="D176">
        <v>21.7088607594937</v>
      </c>
      <c r="E176">
        <v>2.4931139475303601</v>
      </c>
      <c r="F176">
        <v>17.721518987341799</v>
      </c>
      <c r="G176">
        <v>25.6962025316456</v>
      </c>
      <c r="H176">
        <v>19</v>
      </c>
      <c r="I176" t="s">
        <v>73</v>
      </c>
      <c r="J176" t="s">
        <v>77</v>
      </c>
    </row>
    <row r="177" spans="1:10" x14ac:dyDescent="0.3">
      <c r="A177">
        <v>176</v>
      </c>
      <c r="B177" t="s">
        <v>2</v>
      </c>
      <c r="C177">
        <v>198</v>
      </c>
      <c r="D177">
        <v>21.734177215189899</v>
      </c>
      <c r="E177">
        <v>2.79470814817914</v>
      </c>
      <c r="F177">
        <v>17.2151898734177</v>
      </c>
      <c r="G177">
        <v>26.253164556961998</v>
      </c>
      <c r="H177">
        <v>22</v>
      </c>
      <c r="I177" t="s">
        <v>61</v>
      </c>
      <c r="J177" t="s">
        <v>76</v>
      </c>
    </row>
    <row r="178" spans="1:10" x14ac:dyDescent="0.3">
      <c r="A178">
        <v>177</v>
      </c>
      <c r="B178" t="s">
        <v>31</v>
      </c>
      <c r="C178">
        <v>407</v>
      </c>
      <c r="D178">
        <v>21.778481012658201</v>
      </c>
      <c r="E178">
        <v>3.0013216124311999</v>
      </c>
      <c r="F178">
        <v>16.873417721519001</v>
      </c>
      <c r="G178">
        <v>26.6835443037975</v>
      </c>
      <c r="H178">
        <v>26</v>
      </c>
      <c r="I178" t="s">
        <v>61</v>
      </c>
      <c r="J178" t="s">
        <v>62</v>
      </c>
    </row>
    <row r="179" spans="1:10" x14ac:dyDescent="0.3">
      <c r="A179">
        <v>178</v>
      </c>
      <c r="B179" t="s">
        <v>0</v>
      </c>
      <c r="C179">
        <v>178</v>
      </c>
      <c r="D179">
        <v>21.873417721519001</v>
      </c>
      <c r="E179">
        <v>2.5643457746026499</v>
      </c>
      <c r="F179">
        <v>17.772151898734201</v>
      </c>
      <c r="G179">
        <v>25.974683544303801</v>
      </c>
      <c r="H179">
        <v>19</v>
      </c>
      <c r="I179" t="s">
        <v>61</v>
      </c>
      <c r="J179" t="s">
        <v>62</v>
      </c>
    </row>
    <row r="180" spans="1:10" x14ac:dyDescent="0.3">
      <c r="A180">
        <v>179</v>
      </c>
      <c r="B180" t="s">
        <v>5</v>
      </c>
      <c r="C180">
        <v>218</v>
      </c>
      <c r="D180">
        <v>21.873417721519001</v>
      </c>
      <c r="E180">
        <v>2.0454693546049798</v>
      </c>
      <c r="F180">
        <v>18.632911392405099</v>
      </c>
      <c r="G180">
        <v>25.1139240506329</v>
      </c>
      <c r="H180">
        <v>17</v>
      </c>
      <c r="I180" t="s">
        <v>61</v>
      </c>
      <c r="J180" t="s">
        <v>62</v>
      </c>
    </row>
    <row r="181" spans="1:10" x14ac:dyDescent="0.3">
      <c r="A181">
        <v>180</v>
      </c>
      <c r="B181" t="s">
        <v>5</v>
      </c>
      <c r="C181">
        <v>220</v>
      </c>
      <c r="D181">
        <v>21.873417721519001</v>
      </c>
      <c r="E181">
        <v>2.0454693546049798</v>
      </c>
      <c r="F181">
        <v>18.632911392405099</v>
      </c>
      <c r="G181">
        <v>25.1139240506329</v>
      </c>
      <c r="H181">
        <v>17</v>
      </c>
      <c r="I181" t="s">
        <v>61</v>
      </c>
      <c r="J181" t="s">
        <v>62</v>
      </c>
    </row>
    <row r="182" spans="1:10" x14ac:dyDescent="0.3">
      <c r="A182">
        <v>181</v>
      </c>
      <c r="B182" t="s">
        <v>24</v>
      </c>
      <c r="C182">
        <v>369</v>
      </c>
      <c r="D182">
        <v>21.930379746835399</v>
      </c>
      <c r="E182">
        <v>2.10928265821941</v>
      </c>
      <c r="F182">
        <v>18.6075949367089</v>
      </c>
      <c r="G182">
        <v>25.253164556961998</v>
      </c>
      <c r="H182">
        <v>16</v>
      </c>
      <c r="I182" t="s">
        <v>73</v>
      </c>
      <c r="J182" t="s">
        <v>77</v>
      </c>
    </row>
    <row r="183" spans="1:10" x14ac:dyDescent="0.3">
      <c r="A183">
        <v>182</v>
      </c>
      <c r="B183" t="s">
        <v>2</v>
      </c>
      <c r="C183">
        <v>202</v>
      </c>
      <c r="D183">
        <v>21.949367088607602</v>
      </c>
      <c r="E183">
        <v>2.4218821204580601</v>
      </c>
      <c r="F183">
        <v>18.075949367088601</v>
      </c>
      <c r="G183">
        <v>25.822784810126599</v>
      </c>
      <c r="H183">
        <v>19</v>
      </c>
      <c r="I183" t="s">
        <v>61</v>
      </c>
      <c r="J183" t="s">
        <v>76</v>
      </c>
    </row>
    <row r="184" spans="1:10" x14ac:dyDescent="0.3">
      <c r="A184">
        <v>183</v>
      </c>
      <c r="B184" t="s">
        <v>0</v>
      </c>
      <c r="C184">
        <v>291</v>
      </c>
      <c r="D184">
        <v>22.050632911392398</v>
      </c>
      <c r="E184">
        <v>1.8520275038796901</v>
      </c>
      <c r="F184">
        <v>19.0886075949367</v>
      </c>
      <c r="G184">
        <v>25.0126582278481</v>
      </c>
      <c r="H184">
        <v>19</v>
      </c>
      <c r="I184" t="s">
        <v>61</v>
      </c>
      <c r="J184" t="s">
        <v>62</v>
      </c>
    </row>
    <row r="185" spans="1:10" x14ac:dyDescent="0.3">
      <c r="A185">
        <v>184</v>
      </c>
      <c r="B185" t="s">
        <v>0</v>
      </c>
      <c r="C185">
        <v>246</v>
      </c>
      <c r="D185">
        <v>22.164556962025301</v>
      </c>
      <c r="E185">
        <v>2.5461609193086998</v>
      </c>
      <c r="F185">
        <v>18.075949367088601</v>
      </c>
      <c r="G185">
        <v>26.253164556961998</v>
      </c>
      <c r="H185">
        <v>20</v>
      </c>
      <c r="I185" t="s">
        <v>61</v>
      </c>
      <c r="J185" t="s">
        <v>62</v>
      </c>
    </row>
    <row r="186" spans="1:10" x14ac:dyDescent="0.3">
      <c r="A186">
        <v>185</v>
      </c>
      <c r="B186" t="s">
        <v>0</v>
      </c>
      <c r="C186">
        <v>247</v>
      </c>
      <c r="D186">
        <v>22.164556962025301</v>
      </c>
      <c r="E186">
        <v>2.5461609193086998</v>
      </c>
      <c r="F186">
        <v>18.075949367088601</v>
      </c>
      <c r="G186">
        <v>26.253164556961998</v>
      </c>
      <c r="H186">
        <v>20</v>
      </c>
      <c r="I186" t="s">
        <v>61</v>
      </c>
      <c r="J186" t="s">
        <v>62</v>
      </c>
    </row>
    <row r="187" spans="1:10" x14ac:dyDescent="0.3">
      <c r="A187">
        <v>186</v>
      </c>
      <c r="B187" t="s">
        <v>0</v>
      </c>
      <c r="C187">
        <v>248</v>
      </c>
      <c r="D187">
        <v>22.164556962025301</v>
      </c>
      <c r="E187">
        <v>2.5461609193086998</v>
      </c>
      <c r="F187">
        <v>18.075949367088601</v>
      </c>
      <c r="G187">
        <v>26.253164556961998</v>
      </c>
      <c r="H187">
        <v>20</v>
      </c>
      <c r="I187" t="s">
        <v>61</v>
      </c>
      <c r="J187" t="s">
        <v>62</v>
      </c>
    </row>
    <row r="188" spans="1:10" x14ac:dyDescent="0.3">
      <c r="A188">
        <v>187</v>
      </c>
      <c r="B188" t="s">
        <v>0</v>
      </c>
      <c r="C188">
        <v>249</v>
      </c>
      <c r="D188">
        <v>22.164556962025301</v>
      </c>
      <c r="E188">
        <v>2.5461609193086998</v>
      </c>
      <c r="F188">
        <v>18.075949367088601</v>
      </c>
      <c r="G188">
        <v>26.253164556961998</v>
      </c>
      <c r="H188">
        <v>20</v>
      </c>
      <c r="I188" t="s">
        <v>61</v>
      </c>
      <c r="J188" t="s">
        <v>62</v>
      </c>
    </row>
    <row r="189" spans="1:10" x14ac:dyDescent="0.3">
      <c r="A189">
        <v>188</v>
      </c>
      <c r="B189" t="s">
        <v>4</v>
      </c>
      <c r="C189">
        <v>210</v>
      </c>
      <c r="D189">
        <v>22.164556962025301</v>
      </c>
      <c r="E189">
        <v>2.5461609193086998</v>
      </c>
      <c r="F189">
        <v>18.075949367088601</v>
      </c>
      <c r="G189">
        <v>26.253164556961998</v>
      </c>
      <c r="H189">
        <v>20</v>
      </c>
      <c r="I189" t="s">
        <v>61</v>
      </c>
      <c r="J189" t="s">
        <v>72</v>
      </c>
    </row>
    <row r="190" spans="1:10" x14ac:dyDescent="0.3">
      <c r="A190">
        <v>189</v>
      </c>
      <c r="B190" t="s">
        <v>0</v>
      </c>
      <c r="C190">
        <v>287</v>
      </c>
      <c r="D190">
        <v>22.2151898734177</v>
      </c>
      <c r="E190">
        <v>1.5668956889629899</v>
      </c>
      <c r="F190">
        <v>19.746835443038002</v>
      </c>
      <c r="G190">
        <v>24.6835443037975</v>
      </c>
      <c r="H190">
        <v>16</v>
      </c>
      <c r="I190" t="s">
        <v>61</v>
      </c>
      <c r="J190" t="s">
        <v>62</v>
      </c>
    </row>
    <row r="191" spans="1:10" x14ac:dyDescent="0.3">
      <c r="A191">
        <v>190</v>
      </c>
      <c r="B191" t="s">
        <v>11</v>
      </c>
      <c r="C191">
        <v>260</v>
      </c>
      <c r="D191">
        <v>22.348101265822802</v>
      </c>
      <c r="E191">
        <v>2.2300226728926198</v>
      </c>
      <c r="F191">
        <v>18.7974683544304</v>
      </c>
      <c r="G191">
        <v>25.8987341772152</v>
      </c>
      <c r="H191">
        <v>18</v>
      </c>
      <c r="I191" t="s">
        <v>61</v>
      </c>
      <c r="J191" t="s">
        <v>62</v>
      </c>
    </row>
    <row r="192" spans="1:10" x14ac:dyDescent="0.3">
      <c r="A192">
        <v>191</v>
      </c>
      <c r="B192" t="s">
        <v>11</v>
      </c>
      <c r="C192">
        <v>262</v>
      </c>
      <c r="D192">
        <v>22.348101265822802</v>
      </c>
      <c r="E192">
        <v>2.2300226728926198</v>
      </c>
      <c r="F192">
        <v>18.7974683544304</v>
      </c>
      <c r="G192">
        <v>25.8987341772152</v>
      </c>
      <c r="H192">
        <v>18</v>
      </c>
      <c r="I192" t="s">
        <v>61</v>
      </c>
      <c r="J192" t="s">
        <v>62</v>
      </c>
    </row>
    <row r="193" spans="1:10" x14ac:dyDescent="0.3">
      <c r="A193">
        <v>192</v>
      </c>
      <c r="B193" t="s">
        <v>0</v>
      </c>
      <c r="C193">
        <v>310</v>
      </c>
      <c r="D193">
        <v>22.373417721519001</v>
      </c>
      <c r="E193">
        <v>2.10928265821941</v>
      </c>
      <c r="F193">
        <v>19.050632911392398</v>
      </c>
      <c r="G193">
        <v>25.6962025316456</v>
      </c>
      <c r="H193">
        <v>16</v>
      </c>
      <c r="I193" t="s">
        <v>61</v>
      </c>
      <c r="J193" t="s">
        <v>62</v>
      </c>
    </row>
    <row r="194" spans="1:10" x14ac:dyDescent="0.3">
      <c r="A194">
        <v>193</v>
      </c>
      <c r="B194" t="s">
        <v>0</v>
      </c>
      <c r="C194">
        <v>312</v>
      </c>
      <c r="D194">
        <v>22.373417721519001</v>
      </c>
      <c r="E194">
        <v>2.10928265821941</v>
      </c>
      <c r="F194">
        <v>19.050632911392398</v>
      </c>
      <c r="G194">
        <v>25.6962025316456</v>
      </c>
      <c r="H194">
        <v>16</v>
      </c>
      <c r="I194" t="s">
        <v>61</v>
      </c>
      <c r="J194" t="s">
        <v>62</v>
      </c>
    </row>
    <row r="195" spans="1:10" x14ac:dyDescent="0.3">
      <c r="A195">
        <v>194</v>
      </c>
      <c r="B195" t="s">
        <v>0</v>
      </c>
      <c r="C195">
        <v>314</v>
      </c>
      <c r="D195">
        <v>22.373417721519001</v>
      </c>
      <c r="E195">
        <v>2.36517556215883</v>
      </c>
      <c r="F195">
        <v>18.6075949367089</v>
      </c>
      <c r="G195">
        <v>26.139240506329099</v>
      </c>
      <c r="H195">
        <v>18</v>
      </c>
      <c r="I195" t="s">
        <v>61</v>
      </c>
      <c r="J195" t="s">
        <v>62</v>
      </c>
    </row>
    <row r="196" spans="1:10" x14ac:dyDescent="0.3">
      <c r="A196">
        <v>195</v>
      </c>
      <c r="B196" t="s">
        <v>13</v>
      </c>
      <c r="C196">
        <v>271</v>
      </c>
      <c r="D196">
        <v>22.379746835443001</v>
      </c>
      <c r="E196">
        <v>2.1733111892677899</v>
      </c>
      <c r="F196">
        <v>18.936708860759499</v>
      </c>
      <c r="G196">
        <v>25.822784810126599</v>
      </c>
      <c r="H196">
        <v>17</v>
      </c>
      <c r="I196" t="s">
        <v>57</v>
      </c>
      <c r="J196" t="s">
        <v>78</v>
      </c>
    </row>
    <row r="197" spans="1:10" x14ac:dyDescent="0.3">
      <c r="A197">
        <v>196</v>
      </c>
      <c r="B197" t="s">
        <v>0</v>
      </c>
      <c r="C197">
        <v>313</v>
      </c>
      <c r="D197">
        <v>22.5949367088608</v>
      </c>
      <c r="E197">
        <v>2.23723210659919</v>
      </c>
      <c r="F197">
        <v>19.050632911392398</v>
      </c>
      <c r="G197">
        <v>26.139240506329099</v>
      </c>
      <c r="H197">
        <v>17</v>
      </c>
      <c r="I197" t="s">
        <v>61</v>
      </c>
      <c r="J197" t="s">
        <v>62</v>
      </c>
    </row>
    <row r="198" spans="1:10" x14ac:dyDescent="0.3">
      <c r="A198">
        <v>197</v>
      </c>
      <c r="B198" t="s">
        <v>0</v>
      </c>
      <c r="C198">
        <v>342</v>
      </c>
      <c r="D198">
        <v>22.5949367088608</v>
      </c>
      <c r="E198">
        <v>2.23723210659919</v>
      </c>
      <c r="F198">
        <v>19.050632911392398</v>
      </c>
      <c r="G198">
        <v>26.139240506329099</v>
      </c>
      <c r="H198">
        <v>17</v>
      </c>
      <c r="I198" t="s">
        <v>61</v>
      </c>
      <c r="J198" t="s">
        <v>62</v>
      </c>
    </row>
    <row r="199" spans="1:10" x14ac:dyDescent="0.3">
      <c r="A199">
        <v>198</v>
      </c>
      <c r="B199" t="s">
        <v>0</v>
      </c>
      <c r="C199">
        <v>343</v>
      </c>
      <c r="D199">
        <v>22.5949367088608</v>
      </c>
      <c r="E199">
        <v>2.23723210659919</v>
      </c>
      <c r="F199">
        <v>19.050632911392398</v>
      </c>
      <c r="G199">
        <v>26.139240506329099</v>
      </c>
      <c r="H199">
        <v>17</v>
      </c>
      <c r="I199" t="s">
        <v>61</v>
      </c>
      <c r="J199" t="s">
        <v>62</v>
      </c>
    </row>
    <row r="200" spans="1:10" x14ac:dyDescent="0.3">
      <c r="A200">
        <v>199</v>
      </c>
      <c r="B200" t="s">
        <v>0</v>
      </c>
      <c r="C200">
        <v>341</v>
      </c>
      <c r="D200">
        <v>22.8164556962025</v>
      </c>
      <c r="E200">
        <v>2.36517556215883</v>
      </c>
      <c r="F200">
        <v>19.050632911392398</v>
      </c>
      <c r="G200">
        <v>26.5822784810127</v>
      </c>
      <c r="H200">
        <v>18</v>
      </c>
      <c r="I200" t="s">
        <v>61</v>
      </c>
      <c r="J200" t="s">
        <v>62</v>
      </c>
    </row>
    <row r="201" spans="1:10" x14ac:dyDescent="0.3">
      <c r="A201">
        <v>200</v>
      </c>
      <c r="B201" t="s">
        <v>0</v>
      </c>
      <c r="C201">
        <v>345</v>
      </c>
      <c r="D201">
        <v>22.8164556962025</v>
      </c>
      <c r="E201">
        <v>2.36517556215883</v>
      </c>
      <c r="F201">
        <v>19.050632911392398</v>
      </c>
      <c r="G201">
        <v>26.5822784810127</v>
      </c>
      <c r="H201">
        <v>18</v>
      </c>
      <c r="I201" t="s">
        <v>61</v>
      </c>
      <c r="J201" t="s">
        <v>62</v>
      </c>
    </row>
    <row r="202" spans="1:10" x14ac:dyDescent="0.3">
      <c r="A202">
        <v>201</v>
      </c>
      <c r="B202" t="s">
        <v>24</v>
      </c>
      <c r="C202">
        <v>364</v>
      </c>
      <c r="D202">
        <v>22.8164556962025</v>
      </c>
      <c r="E202">
        <v>1.8533608182716901</v>
      </c>
      <c r="F202">
        <v>19.936708860759499</v>
      </c>
      <c r="G202">
        <v>25.6962025316456</v>
      </c>
      <c r="H202">
        <v>14</v>
      </c>
      <c r="I202" t="s">
        <v>73</v>
      </c>
      <c r="J202" t="s">
        <v>77</v>
      </c>
    </row>
    <row r="203" spans="1:10" x14ac:dyDescent="0.3">
      <c r="A203">
        <v>202</v>
      </c>
      <c r="B203" t="s">
        <v>1</v>
      </c>
      <c r="C203">
        <v>195</v>
      </c>
      <c r="D203">
        <v>22.955696202531598</v>
      </c>
      <c r="E203">
        <v>1.77995569295058</v>
      </c>
      <c r="F203">
        <v>20.240506329113899</v>
      </c>
      <c r="G203">
        <v>25.670886075949401</v>
      </c>
      <c r="H203">
        <v>12</v>
      </c>
      <c r="I203" t="s">
        <v>57</v>
      </c>
      <c r="J203" t="s">
        <v>75</v>
      </c>
    </row>
    <row r="204" spans="1:10" x14ac:dyDescent="0.3">
      <c r="A204">
        <v>203</v>
      </c>
      <c r="B204" t="s">
        <v>1</v>
      </c>
      <c r="C204">
        <v>196</v>
      </c>
      <c r="D204">
        <v>22.955696202531598</v>
      </c>
      <c r="E204">
        <v>3.2056946405584301</v>
      </c>
      <c r="F204">
        <v>17.772151898734201</v>
      </c>
      <c r="G204">
        <v>28.139240506329099</v>
      </c>
      <c r="H204">
        <v>22</v>
      </c>
      <c r="I204" t="s">
        <v>57</v>
      </c>
      <c r="J204" t="s">
        <v>75</v>
      </c>
    </row>
    <row r="205" spans="1:10" x14ac:dyDescent="0.3">
      <c r="A205">
        <v>204</v>
      </c>
      <c r="B205" t="s">
        <v>2</v>
      </c>
      <c r="C205">
        <v>197</v>
      </c>
      <c r="D205">
        <v>23.025316455696199</v>
      </c>
      <c r="E205">
        <v>2.5461609193086998</v>
      </c>
      <c r="F205">
        <v>18.936708860759499</v>
      </c>
      <c r="G205">
        <v>27.1139240506329</v>
      </c>
      <c r="H205">
        <v>20</v>
      </c>
      <c r="I205" t="s">
        <v>61</v>
      </c>
      <c r="J205" t="s">
        <v>76</v>
      </c>
    </row>
    <row r="206" spans="1:10" x14ac:dyDescent="0.3">
      <c r="A206">
        <v>205</v>
      </c>
      <c r="B206" t="s">
        <v>2</v>
      </c>
      <c r="C206">
        <v>200</v>
      </c>
      <c r="D206">
        <v>23.025316455696199</v>
      </c>
      <c r="E206">
        <v>2.29759911752573</v>
      </c>
      <c r="F206">
        <v>19.367088607594901</v>
      </c>
      <c r="G206">
        <v>26.6835443037975</v>
      </c>
      <c r="H206">
        <v>18</v>
      </c>
      <c r="I206" t="s">
        <v>61</v>
      </c>
      <c r="J206" t="s">
        <v>76</v>
      </c>
    </row>
    <row r="207" spans="1:10" x14ac:dyDescent="0.3">
      <c r="A207">
        <v>206</v>
      </c>
      <c r="B207" t="s">
        <v>23</v>
      </c>
      <c r="C207">
        <v>358</v>
      </c>
      <c r="D207">
        <v>23.037974683544299</v>
      </c>
      <c r="E207">
        <v>2.23723210659919</v>
      </c>
      <c r="F207">
        <v>19.4936708860759</v>
      </c>
      <c r="G207">
        <v>26.5822784810127</v>
      </c>
      <c r="H207">
        <v>17</v>
      </c>
      <c r="I207" t="s">
        <v>73</v>
      </c>
      <c r="J207" t="s">
        <v>74</v>
      </c>
    </row>
    <row r="208" spans="1:10" x14ac:dyDescent="0.3">
      <c r="A208">
        <v>207</v>
      </c>
      <c r="B208" t="s">
        <v>13</v>
      </c>
      <c r="C208">
        <v>270</v>
      </c>
      <c r="D208">
        <v>23.240506329113899</v>
      </c>
      <c r="E208">
        <v>1.6760883086440099</v>
      </c>
      <c r="F208">
        <v>20.658227848101301</v>
      </c>
      <c r="G208">
        <v>25.822784810126599</v>
      </c>
      <c r="H208">
        <v>13</v>
      </c>
      <c r="I208" t="s">
        <v>57</v>
      </c>
      <c r="J208" t="s">
        <v>78</v>
      </c>
    </row>
    <row r="209" spans="1:10" x14ac:dyDescent="0.3">
      <c r="A209">
        <v>208</v>
      </c>
      <c r="B209" t="s">
        <v>24</v>
      </c>
      <c r="C209">
        <v>366</v>
      </c>
      <c r="D209">
        <v>23.259493670886101</v>
      </c>
      <c r="E209">
        <v>2.3651755621588402</v>
      </c>
      <c r="F209">
        <v>19.4936708860759</v>
      </c>
      <c r="G209">
        <v>27.025316455696199</v>
      </c>
      <c r="H209">
        <v>18</v>
      </c>
      <c r="I209" t="s">
        <v>73</v>
      </c>
      <c r="J209" t="s">
        <v>77</v>
      </c>
    </row>
    <row r="210" spans="1:10" x14ac:dyDescent="0.3">
      <c r="A210">
        <v>209</v>
      </c>
      <c r="B210" t="s">
        <v>11</v>
      </c>
      <c r="C210">
        <v>257</v>
      </c>
      <c r="D210">
        <v>23.3924050632911</v>
      </c>
      <c r="E210">
        <v>1.8681074242403299</v>
      </c>
      <c r="F210">
        <v>20.468354430379701</v>
      </c>
      <c r="G210">
        <v>26.3164556962025</v>
      </c>
      <c r="H210">
        <v>15</v>
      </c>
      <c r="I210" t="s">
        <v>61</v>
      </c>
      <c r="J210" t="s">
        <v>62</v>
      </c>
    </row>
    <row r="211" spans="1:10" x14ac:dyDescent="0.3">
      <c r="A211">
        <v>210</v>
      </c>
      <c r="B211" t="s">
        <v>13</v>
      </c>
      <c r="C211">
        <v>272</v>
      </c>
      <c r="D211">
        <v>23.455696202531598</v>
      </c>
      <c r="E211">
        <v>1.80040765203535</v>
      </c>
      <c r="F211">
        <v>20.658227848101301</v>
      </c>
      <c r="G211">
        <v>26.253164556961998</v>
      </c>
      <c r="H211">
        <v>14</v>
      </c>
      <c r="I211" t="s">
        <v>57</v>
      </c>
      <c r="J211" t="s">
        <v>78</v>
      </c>
    </row>
    <row r="212" spans="1:10" x14ac:dyDescent="0.3">
      <c r="A212">
        <v>211</v>
      </c>
      <c r="B212" t="s">
        <v>0</v>
      </c>
      <c r="C212">
        <v>173</v>
      </c>
      <c r="D212">
        <v>23.468354430379701</v>
      </c>
      <c r="E212">
        <v>2.4327520067919401</v>
      </c>
      <c r="F212">
        <v>19.5949367088608</v>
      </c>
      <c r="G212">
        <v>27.341772151898699</v>
      </c>
      <c r="H212">
        <v>18</v>
      </c>
      <c r="I212" t="s">
        <v>61</v>
      </c>
      <c r="J212" t="s">
        <v>62</v>
      </c>
    </row>
    <row r="213" spans="1:10" x14ac:dyDescent="0.3">
      <c r="A213">
        <v>212</v>
      </c>
      <c r="B213" t="s">
        <v>26</v>
      </c>
      <c r="C213">
        <v>380</v>
      </c>
      <c r="D213">
        <v>23.544303797468402</v>
      </c>
      <c r="E213">
        <v>2.6614206262896598</v>
      </c>
      <c r="F213">
        <v>19.227848101265799</v>
      </c>
      <c r="G213">
        <v>27.860759493670901</v>
      </c>
      <c r="H213">
        <v>23</v>
      </c>
      <c r="I213" t="s">
        <v>61</v>
      </c>
      <c r="J213" t="s">
        <v>62</v>
      </c>
    </row>
    <row r="214" spans="1:10" x14ac:dyDescent="0.3">
      <c r="A214">
        <v>213</v>
      </c>
      <c r="B214" t="s">
        <v>0</v>
      </c>
      <c r="C214">
        <v>245</v>
      </c>
      <c r="D214">
        <v>23.670886075949401</v>
      </c>
      <c r="E214">
        <v>2.9189774610918899</v>
      </c>
      <c r="F214">
        <v>18.936708860759499</v>
      </c>
      <c r="G214">
        <v>28.4050632911392</v>
      </c>
      <c r="H214">
        <v>23</v>
      </c>
      <c r="I214" t="s">
        <v>61</v>
      </c>
      <c r="J214" t="s">
        <v>62</v>
      </c>
    </row>
    <row r="215" spans="1:10" x14ac:dyDescent="0.3">
      <c r="A215">
        <v>214</v>
      </c>
      <c r="B215" t="s">
        <v>13</v>
      </c>
      <c r="C215">
        <v>273</v>
      </c>
      <c r="D215">
        <v>23.670886075949401</v>
      </c>
      <c r="E215">
        <v>1.6760883086440099</v>
      </c>
      <c r="F215">
        <v>21.0886075949367</v>
      </c>
      <c r="G215">
        <v>26.253164556961998</v>
      </c>
      <c r="H215">
        <v>13</v>
      </c>
      <c r="I215" t="s">
        <v>57</v>
      </c>
      <c r="J215" t="s">
        <v>78</v>
      </c>
    </row>
    <row r="216" spans="1:10" x14ac:dyDescent="0.3">
      <c r="A216">
        <v>215</v>
      </c>
      <c r="B216" t="s">
        <v>4</v>
      </c>
      <c r="C216">
        <v>213</v>
      </c>
      <c r="D216">
        <v>23.670886075949401</v>
      </c>
      <c r="E216">
        <v>2.6704361010360098</v>
      </c>
      <c r="F216">
        <v>19.367088607594901</v>
      </c>
      <c r="G216">
        <v>27.974683544303801</v>
      </c>
      <c r="H216">
        <v>21</v>
      </c>
      <c r="I216" t="s">
        <v>61</v>
      </c>
      <c r="J216" t="s">
        <v>72</v>
      </c>
    </row>
    <row r="217" spans="1:10" x14ac:dyDescent="0.3">
      <c r="A217">
        <v>216</v>
      </c>
      <c r="B217" t="s">
        <v>0</v>
      </c>
      <c r="C217">
        <v>177</v>
      </c>
      <c r="D217">
        <v>23.924050632911399</v>
      </c>
      <c r="E217">
        <v>2.4327520067919401</v>
      </c>
      <c r="F217">
        <v>20.050632911392398</v>
      </c>
      <c r="G217">
        <v>27.7974683544304</v>
      </c>
      <c r="H217">
        <v>18</v>
      </c>
      <c r="I217" t="s">
        <v>61</v>
      </c>
      <c r="J217" t="s">
        <v>62</v>
      </c>
    </row>
    <row r="218" spans="1:10" x14ac:dyDescent="0.3">
      <c r="A218">
        <v>217</v>
      </c>
      <c r="B218" t="s">
        <v>26</v>
      </c>
      <c r="C218">
        <v>378</v>
      </c>
      <c r="D218">
        <v>23.936708860759499</v>
      </c>
      <c r="E218">
        <v>3.3412087173653102</v>
      </c>
      <c r="F218">
        <v>18.443037974683499</v>
      </c>
      <c r="G218">
        <v>29.430379746835399</v>
      </c>
      <c r="H218">
        <v>29</v>
      </c>
      <c r="I218" t="s">
        <v>61</v>
      </c>
      <c r="J218" t="s">
        <v>62</v>
      </c>
    </row>
    <row r="219" spans="1:10" x14ac:dyDescent="0.3">
      <c r="A219">
        <v>218</v>
      </c>
      <c r="B219" t="s">
        <v>39</v>
      </c>
      <c r="C219">
        <v>457</v>
      </c>
      <c r="D219">
        <v>24.506329113924</v>
      </c>
      <c r="E219">
        <v>2.1624462282595101</v>
      </c>
      <c r="F219">
        <v>21.063291139240501</v>
      </c>
      <c r="G219">
        <v>27.949367088607602</v>
      </c>
      <c r="H219">
        <v>18</v>
      </c>
      <c r="I219" t="s">
        <v>53</v>
      </c>
      <c r="J219" t="s">
        <v>79</v>
      </c>
    </row>
    <row r="220" spans="1:10" x14ac:dyDescent="0.3">
      <c r="A220">
        <v>219</v>
      </c>
      <c r="B220" t="s">
        <v>0</v>
      </c>
      <c r="C220">
        <v>176</v>
      </c>
      <c r="D220">
        <v>24.6075949367089</v>
      </c>
      <c r="E220">
        <v>1.2479754474801299</v>
      </c>
      <c r="F220">
        <v>22.7848101265823</v>
      </c>
      <c r="G220">
        <v>26.430379746835399</v>
      </c>
      <c r="H220">
        <v>9</v>
      </c>
      <c r="I220" t="s">
        <v>61</v>
      </c>
      <c r="J220" t="s">
        <v>62</v>
      </c>
    </row>
    <row r="221" spans="1:10" x14ac:dyDescent="0.3">
      <c r="A221">
        <v>220</v>
      </c>
      <c r="B221" t="s">
        <v>23</v>
      </c>
      <c r="C221">
        <v>363</v>
      </c>
      <c r="D221">
        <v>24.8101265822785</v>
      </c>
      <c r="E221">
        <v>2.7489783393017699</v>
      </c>
      <c r="F221">
        <v>20.379746835443001</v>
      </c>
      <c r="G221">
        <v>29.240506329113899</v>
      </c>
      <c r="H221">
        <v>21</v>
      </c>
      <c r="I221" t="s">
        <v>73</v>
      </c>
      <c r="J221" t="s">
        <v>74</v>
      </c>
    </row>
    <row r="222" spans="1:10" x14ac:dyDescent="0.3">
      <c r="A222">
        <v>221</v>
      </c>
      <c r="B222" t="s">
        <v>23</v>
      </c>
      <c r="C222">
        <v>361</v>
      </c>
      <c r="D222">
        <v>25.253164556961998</v>
      </c>
      <c r="E222">
        <v>2.4931139475303601</v>
      </c>
      <c r="F222">
        <v>21.265822784810101</v>
      </c>
      <c r="G222">
        <v>29.240506329113899</v>
      </c>
      <c r="H222">
        <v>19</v>
      </c>
      <c r="I222" t="s">
        <v>73</v>
      </c>
      <c r="J222" t="s">
        <v>74</v>
      </c>
    </row>
    <row r="223" spans="1:10" x14ac:dyDescent="0.3">
      <c r="A223">
        <v>222</v>
      </c>
      <c r="B223" t="s">
        <v>5</v>
      </c>
      <c r="C223">
        <v>215</v>
      </c>
      <c r="D223">
        <v>25.3164556962025</v>
      </c>
      <c r="E223">
        <v>3.0981384386386499</v>
      </c>
      <c r="F223">
        <v>20.253164556961998</v>
      </c>
      <c r="G223">
        <v>30.379746835443001</v>
      </c>
      <c r="H223">
        <v>26</v>
      </c>
      <c r="I223" t="s">
        <v>61</v>
      </c>
      <c r="J223" t="s">
        <v>62</v>
      </c>
    </row>
    <row r="224" spans="1:10" x14ac:dyDescent="0.3">
      <c r="A224">
        <v>223</v>
      </c>
      <c r="B224" t="s">
        <v>1</v>
      </c>
      <c r="C224">
        <v>191</v>
      </c>
      <c r="D224">
        <v>25.424050632911399</v>
      </c>
      <c r="E224">
        <v>1.4946628330354701</v>
      </c>
      <c r="F224">
        <v>23.2025316455696</v>
      </c>
      <c r="G224">
        <v>27.645569620253202</v>
      </c>
      <c r="H224">
        <v>10</v>
      </c>
      <c r="I224" t="s">
        <v>57</v>
      </c>
      <c r="J224" t="s">
        <v>75</v>
      </c>
    </row>
    <row r="225" spans="1:10" x14ac:dyDescent="0.3">
      <c r="A225">
        <v>224</v>
      </c>
      <c r="B225" t="s">
        <v>25</v>
      </c>
      <c r="C225">
        <v>370</v>
      </c>
      <c r="D225">
        <v>25.670886075949401</v>
      </c>
      <c r="E225">
        <v>3.06314729236483</v>
      </c>
      <c r="F225">
        <v>20.734177215189899</v>
      </c>
      <c r="G225">
        <v>30.6075949367089</v>
      </c>
      <c r="H225">
        <v>21</v>
      </c>
      <c r="I225" t="s">
        <v>61</v>
      </c>
      <c r="J225" t="s">
        <v>62</v>
      </c>
    </row>
    <row r="226" spans="1:10" x14ac:dyDescent="0.3">
      <c r="A226">
        <v>225</v>
      </c>
      <c r="B226" t="s">
        <v>23</v>
      </c>
      <c r="C226">
        <v>359</v>
      </c>
      <c r="D226">
        <v>26.360759493670901</v>
      </c>
      <c r="E226">
        <v>1.59739613469924</v>
      </c>
      <c r="F226">
        <v>23.924050632911399</v>
      </c>
      <c r="G226">
        <v>28.7974683544304</v>
      </c>
      <c r="H226">
        <v>12</v>
      </c>
      <c r="I226" t="s">
        <v>73</v>
      </c>
      <c r="J226" t="s">
        <v>74</v>
      </c>
    </row>
    <row r="227" spans="1:10" x14ac:dyDescent="0.3">
      <c r="A227">
        <v>226</v>
      </c>
      <c r="B227" t="s">
        <v>5</v>
      </c>
      <c r="C227">
        <v>217</v>
      </c>
      <c r="D227">
        <v>26.734177215189899</v>
      </c>
      <c r="E227">
        <v>1.8114981083542601</v>
      </c>
      <c r="F227">
        <v>23.8987341772152</v>
      </c>
      <c r="G227">
        <v>29.569620253164601</v>
      </c>
      <c r="H227">
        <v>15</v>
      </c>
      <c r="I227" t="s">
        <v>61</v>
      </c>
      <c r="J227" t="s">
        <v>62</v>
      </c>
    </row>
    <row r="228" spans="1:10" x14ac:dyDescent="0.3">
      <c r="A228">
        <v>227</v>
      </c>
      <c r="B228" t="s">
        <v>24</v>
      </c>
      <c r="C228">
        <v>367</v>
      </c>
      <c r="D228">
        <v>27.246835443038002</v>
      </c>
      <c r="E228">
        <v>1.8533608182716901</v>
      </c>
      <c r="F228">
        <v>24.367088607594901</v>
      </c>
      <c r="G228">
        <v>30.126582278480999</v>
      </c>
      <c r="H228">
        <v>14</v>
      </c>
      <c r="I228" t="s">
        <v>73</v>
      </c>
      <c r="J228" t="s">
        <v>77</v>
      </c>
    </row>
    <row r="229" spans="1:10" x14ac:dyDescent="0.3">
      <c r="A229">
        <v>228</v>
      </c>
      <c r="B229" t="s">
        <v>1</v>
      </c>
      <c r="C229">
        <v>194</v>
      </c>
      <c r="D229">
        <v>27.8924050632911</v>
      </c>
      <c r="E229">
        <v>3.2056946405584301</v>
      </c>
      <c r="F229">
        <v>22.7088607594937</v>
      </c>
      <c r="G229">
        <v>33.075949367088597</v>
      </c>
      <c r="H229">
        <v>22</v>
      </c>
      <c r="I229" t="s">
        <v>57</v>
      </c>
      <c r="J229" t="s">
        <v>75</v>
      </c>
    </row>
    <row r="230" spans="1:10" x14ac:dyDescent="0.3">
      <c r="A230">
        <v>229</v>
      </c>
      <c r="B230" t="s">
        <v>25</v>
      </c>
      <c r="C230">
        <v>372</v>
      </c>
      <c r="D230">
        <v>30.1139240506329</v>
      </c>
      <c r="E230">
        <v>2.4929157759248199</v>
      </c>
      <c r="F230">
        <v>26.164556962025301</v>
      </c>
      <c r="G230">
        <v>34.063291139240498</v>
      </c>
      <c r="H230">
        <v>17</v>
      </c>
      <c r="I230" t="s">
        <v>61</v>
      </c>
      <c r="J230" t="s">
        <v>62</v>
      </c>
    </row>
    <row r="231" spans="1:10" x14ac:dyDescent="0.3">
      <c r="A231">
        <v>230</v>
      </c>
      <c r="B231" t="s">
        <v>25</v>
      </c>
      <c r="C231">
        <v>373</v>
      </c>
      <c r="D231">
        <v>31.1012658227848</v>
      </c>
      <c r="E231">
        <v>3.06314729236483</v>
      </c>
      <c r="F231">
        <v>26.164556962025301</v>
      </c>
      <c r="G231">
        <v>36.037974683544299</v>
      </c>
      <c r="H231">
        <v>21</v>
      </c>
      <c r="I231" t="s">
        <v>61</v>
      </c>
      <c r="J231" t="s">
        <v>62</v>
      </c>
    </row>
    <row r="232" spans="1:10" x14ac:dyDescent="0.3">
      <c r="A232">
        <v>231</v>
      </c>
      <c r="B232" t="s">
        <v>25</v>
      </c>
      <c r="C232">
        <v>374</v>
      </c>
      <c r="D232">
        <v>32.5822784810127</v>
      </c>
      <c r="E232">
        <v>3.91839118220958</v>
      </c>
      <c r="F232">
        <v>26.164556962025301</v>
      </c>
      <c r="G232">
        <v>39</v>
      </c>
      <c r="H232">
        <v>27</v>
      </c>
      <c r="I232" t="s">
        <v>61</v>
      </c>
      <c r="J232" t="s">
        <v>62</v>
      </c>
    </row>
    <row r="233" spans="1:10" x14ac:dyDescent="0.3">
      <c r="A233">
        <v>232</v>
      </c>
      <c r="B233" t="s">
        <v>25</v>
      </c>
      <c r="C233">
        <v>371</v>
      </c>
      <c r="D233">
        <v>32.829113924050603</v>
      </c>
      <c r="E233">
        <v>3.77585622209086</v>
      </c>
      <c r="F233">
        <v>26.658227848101301</v>
      </c>
      <c r="G233">
        <v>39</v>
      </c>
      <c r="H233">
        <v>26</v>
      </c>
      <c r="I233" t="s">
        <v>61</v>
      </c>
      <c r="J233" t="s">
        <v>62</v>
      </c>
    </row>
    <row r="234" spans="1:10" x14ac:dyDescent="0.3">
      <c r="A234">
        <v>233</v>
      </c>
      <c r="B234" t="s">
        <v>25</v>
      </c>
      <c r="C234">
        <v>375</v>
      </c>
      <c r="D234">
        <v>32.829113924050603</v>
      </c>
      <c r="E234">
        <v>3.77585622209086</v>
      </c>
      <c r="F234">
        <v>26.658227848101301</v>
      </c>
      <c r="G234">
        <v>39</v>
      </c>
      <c r="H234">
        <v>26</v>
      </c>
      <c r="I234" t="s">
        <v>61</v>
      </c>
      <c r="J234" t="s">
        <v>62</v>
      </c>
    </row>
    <row r="235" spans="1:10" x14ac:dyDescent="0.3">
      <c r="A235">
        <v>234</v>
      </c>
      <c r="B235" t="s">
        <v>13</v>
      </c>
      <c r="C235">
        <v>274</v>
      </c>
      <c r="D235">
        <v>33.1898734177215</v>
      </c>
      <c r="E235">
        <v>0.48959695204591602</v>
      </c>
      <c r="F235">
        <v>32.379746835443001</v>
      </c>
      <c r="G235">
        <v>34</v>
      </c>
      <c r="H235">
        <v>33</v>
      </c>
      <c r="I235" t="s">
        <v>57</v>
      </c>
      <c r="J235" t="s">
        <v>78</v>
      </c>
    </row>
    <row r="236" spans="1:10" x14ac:dyDescent="0.3">
      <c r="A236">
        <v>235</v>
      </c>
      <c r="B236" t="s">
        <v>24</v>
      </c>
      <c r="C236">
        <v>368</v>
      </c>
      <c r="D236">
        <v>34.018987341772203</v>
      </c>
      <c r="E236">
        <v>0.59372351390169997</v>
      </c>
      <c r="F236">
        <v>33.037974683544299</v>
      </c>
      <c r="G236">
        <v>35</v>
      </c>
      <c r="H236">
        <v>32</v>
      </c>
      <c r="I236" t="s">
        <v>73</v>
      </c>
      <c r="J236" t="s">
        <v>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4e9f69-708b-42d1-b772-2ece2c1b39da" xsi:nil="true"/>
    <lcf76f155ced4ddcb4097134ff3c332f xmlns="c547a812-ac17-4a6a-8bd9-a75acfa3102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E412483FFC35649B797435CD3F0398D" ma:contentTypeVersion="18" ma:contentTypeDescription="Crear nuevo documento." ma:contentTypeScope="" ma:versionID="ebf619eb4ee64aa1b0df5b3e99bebfd8">
  <xsd:schema xmlns:xsd="http://www.w3.org/2001/XMLSchema" xmlns:xs="http://www.w3.org/2001/XMLSchema" xmlns:p="http://schemas.microsoft.com/office/2006/metadata/properties" xmlns:ns2="c547a812-ac17-4a6a-8bd9-a75acfa31021" xmlns:ns3="814e9f69-708b-42d1-b772-2ece2c1b39da" targetNamespace="http://schemas.microsoft.com/office/2006/metadata/properties" ma:root="true" ma:fieldsID="caa8d77f09466e8d27c0b57089646c44" ns2:_="" ns3:_="">
    <xsd:import namespace="c547a812-ac17-4a6a-8bd9-a75acfa31021"/>
    <xsd:import namespace="814e9f69-708b-42d1-b772-2ece2c1b39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7a812-ac17-4a6a-8bd9-a75acfa310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4e9f69-708b-42d1-b772-2ece2c1b39d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59faeb6-52d7-4144-9b03-0dbc3402ce3f}" ma:internalName="TaxCatchAll" ma:showField="CatchAllData" ma:web="814e9f69-708b-42d1-b772-2ece2c1b3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FDC23B-86FD-47D2-8826-0784236962E9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c547a812-ac17-4a6a-8bd9-a75acfa31021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814e9f69-708b-42d1-b772-2ece2c1b39d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FB41FF8-DB04-4D99-AEBB-D12CA4BCAAC1}"/>
</file>

<file path=customXml/itemProps3.xml><?xml version="1.0" encoding="utf-8"?>
<ds:datastoreItem xmlns:ds="http://schemas.openxmlformats.org/officeDocument/2006/customXml" ds:itemID="{D552E992-68D4-4FC9-A983-2147E12EBC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Printed_final</vt:lpstr>
      <vt:lpstr>Category</vt:lpstr>
      <vt:lpstr>Final</vt:lpstr>
      <vt:lpstr>Trays</vt:lpstr>
      <vt:lpstr>Check (2)</vt:lpstr>
      <vt:lpstr>Check</vt:lpstr>
      <vt:lpstr>regression.3to5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Aragon Gomez, Marcela</dc:creator>
  <cp:lastModifiedBy>Carracedo Lorenzo, Zulema</cp:lastModifiedBy>
  <cp:lastPrinted>2021-09-21T10:09:26Z</cp:lastPrinted>
  <dcterms:created xsi:type="dcterms:W3CDTF">2021-04-26T13:14:41Z</dcterms:created>
  <dcterms:modified xsi:type="dcterms:W3CDTF">2022-03-11T12:50:49Z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0x0101000E412483FFC35649B797435CD3F0398D</vt:lpwstr>
  </property>
</Properties>
</file>