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RProjects\Family\16_Plant_species_information\data\"/>
    </mc:Choice>
  </mc:AlternateContent>
  <xr:revisionPtr revIDLastSave="0" documentId="13_ncr:1_{94342D74-568F-4167-9BD5-0B001A79392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fo" sheetId="9" r:id="rId1"/>
    <sheet name="Rounds_info" sheetId="8" r:id="rId2"/>
    <sheet name="Selection_criter" sheetId="10" r:id="rId3"/>
    <sheet name="Printed_final" sheetId="3" r:id="rId4"/>
    <sheet name="Nora's tree" sheetId="7" r:id="rId5"/>
    <sheet name="Phylogeny_sequences_new" sheetId="12" r:id="rId6"/>
    <sheet name="Phylogeny_sequences" sheetId="6" r:id="rId7"/>
    <sheet name="Accession_numbers" sheetId="5" r:id="rId8"/>
    <sheet name="Plant_species_phylogeny_metadat" sheetId="4" r:id="rId9"/>
    <sheet name="Genome_Info" sheetId="11" r:id="rId10"/>
  </sheets>
  <definedNames>
    <definedName name="_xlnm._FilterDatabase" localSheetId="6" hidden="1">Phylogeny_sequences!$A$1:$N$32</definedName>
    <definedName name="_xlnm._FilterDatabase" localSheetId="5" hidden="1">Phylogeny_sequences_new!$A$1:$O$32</definedName>
    <definedName name="_xlnm._FilterDatabase" localSheetId="1" hidden="1">Rounds_info!$A$1:$AJ$55</definedName>
    <definedName name="_xlnm._FilterDatabase" localSheetId="2" hidden="1">Selection_criter!$A$1:$M$1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5" i="8" l="1"/>
  <c r="AA55" i="8"/>
  <c r="Y55" i="8"/>
  <c r="L55" i="8"/>
  <c r="Y54" i="8"/>
  <c r="W54" i="8"/>
  <c r="L54" i="8"/>
  <c r="AA53" i="8"/>
  <c r="Y53" i="8"/>
  <c r="W53" i="8"/>
  <c r="L53" i="8"/>
  <c r="AB52" i="8"/>
  <c r="AA52" i="8"/>
  <c r="X52" i="8"/>
  <c r="Y52" i="8" s="1"/>
  <c r="W52" i="8"/>
  <c r="L52" i="8"/>
  <c r="AB51" i="8"/>
  <c r="AA51" i="8"/>
  <c r="Y51" i="8"/>
  <c r="X51" i="8"/>
  <c r="W51" i="8"/>
  <c r="L51" i="8"/>
  <c r="AA50" i="8"/>
  <c r="Y50" i="8"/>
  <c r="L50" i="8"/>
  <c r="AB49" i="8"/>
  <c r="AA49" i="8"/>
  <c r="Y49" i="8"/>
  <c r="L49" i="8"/>
  <c r="Y48" i="8"/>
  <c r="Y47" i="8"/>
  <c r="L47" i="8"/>
  <c r="Y46" i="8"/>
  <c r="W46" i="8"/>
  <c r="AB45" i="8"/>
  <c r="AA45" i="8"/>
  <c r="Y45" i="8"/>
  <c r="X45" i="8"/>
  <c r="AB44" i="8"/>
  <c r="AA44" i="8"/>
  <c r="X44" i="8"/>
  <c r="Y44" i="8" s="1"/>
  <c r="Y43" i="8"/>
  <c r="W43" i="8"/>
  <c r="L43" i="8"/>
  <c r="AA42" i="8"/>
  <c r="W42" i="8"/>
  <c r="AB41" i="8"/>
  <c r="AA41" i="8"/>
  <c r="Y41" i="8"/>
  <c r="W41" i="8"/>
  <c r="L41" i="8"/>
  <c r="Y40" i="8"/>
  <c r="AA39" i="8"/>
  <c r="Y39" i="8"/>
  <c r="W39" i="8"/>
  <c r="L39" i="8"/>
  <c r="AA38" i="8"/>
  <c r="AB37" i="8"/>
  <c r="AA37" i="8"/>
  <c r="Y37" i="8"/>
  <c r="L37" i="8"/>
  <c r="AB36" i="8"/>
  <c r="AA36" i="8"/>
  <c r="Y36" i="8"/>
  <c r="W36" i="8"/>
  <c r="L36" i="8"/>
  <c r="AA35" i="8"/>
  <c r="Y35" i="8"/>
  <c r="W35" i="8"/>
  <c r="L35" i="8"/>
  <c r="AA34" i="8"/>
  <c r="Y34" i="8"/>
  <c r="W34" i="8"/>
  <c r="L34" i="8"/>
  <c r="Y33" i="8"/>
  <c r="W33" i="8"/>
  <c r="L33" i="8"/>
  <c r="Y32" i="8"/>
  <c r="L32" i="8"/>
  <c r="AB31" i="8"/>
  <c r="AA31" i="8"/>
  <c r="Y31" i="8"/>
  <c r="X31" i="8"/>
  <c r="W31" i="8"/>
  <c r="L31" i="8"/>
  <c r="AA30" i="8"/>
  <c r="Y30" i="8"/>
  <c r="W30" i="8"/>
  <c r="L30" i="8"/>
  <c r="Y29" i="8"/>
  <c r="W29" i="8"/>
  <c r="AA28" i="8"/>
  <c r="Y28" i="8"/>
  <c r="L28" i="8"/>
  <c r="AA27" i="8"/>
  <c r="AA26" i="8"/>
  <c r="Y26" i="8"/>
  <c r="L26" i="8"/>
  <c r="AA25" i="8"/>
  <c r="Y25" i="8"/>
  <c r="W25" i="8"/>
  <c r="L25" i="8"/>
  <c r="Y23" i="8"/>
  <c r="L23" i="8"/>
  <c r="Y22" i="8"/>
  <c r="L22" i="8"/>
  <c r="Y21" i="8"/>
  <c r="L21" i="8"/>
  <c r="AB20" i="8"/>
  <c r="AA20" i="8"/>
  <c r="Y20" i="8"/>
  <c r="L20" i="8"/>
  <c r="AB19" i="8"/>
  <c r="AA19" i="8"/>
  <c r="X19" i="8"/>
  <c r="Y19" i="8" s="1"/>
  <c r="W19" i="8"/>
  <c r="L19" i="8"/>
  <c r="Y18" i="8"/>
  <c r="W18" i="8"/>
  <c r="AB17" i="8"/>
  <c r="AA17" i="8"/>
  <c r="X17" i="8"/>
  <c r="Y17" i="8" s="1"/>
  <c r="W17" i="8"/>
  <c r="L17" i="8"/>
  <c r="AB16" i="8"/>
  <c r="AA16" i="8"/>
  <c r="Y16" i="8"/>
  <c r="Y15" i="8"/>
  <c r="W15" i="8"/>
  <c r="L15" i="8"/>
  <c r="AA14" i="8"/>
  <c r="Y14" i="8"/>
  <c r="W14" i="8"/>
  <c r="L14" i="8"/>
  <c r="AB13" i="8"/>
  <c r="AA13" i="8"/>
  <c r="Y13" i="8"/>
  <c r="L13" i="8"/>
  <c r="AB12" i="8"/>
  <c r="AA12" i="8"/>
  <c r="Y12" i="8"/>
  <c r="W12" i="8"/>
  <c r="L12" i="8"/>
  <c r="Y11" i="8"/>
  <c r="W11" i="8"/>
  <c r="L11" i="8"/>
  <c r="AB10" i="8"/>
  <c r="AA10" i="8"/>
  <c r="X10" i="8"/>
  <c r="Y10" i="8" s="1"/>
  <c r="W10" i="8"/>
  <c r="L10" i="8"/>
  <c r="AA9" i="8"/>
  <c r="Y9" i="8"/>
  <c r="W9" i="8"/>
  <c r="L9" i="8"/>
  <c r="AA8" i="8"/>
  <c r="Y8" i="8"/>
  <c r="W8" i="8"/>
  <c r="L8" i="8"/>
  <c r="AB7" i="8"/>
  <c r="AA7" i="8"/>
  <c r="Y7" i="8"/>
  <c r="W7" i="8"/>
  <c r="L7" i="8"/>
  <c r="AB6" i="8"/>
  <c r="AA6" i="8"/>
  <c r="Y6" i="8"/>
  <c r="W6" i="8"/>
  <c r="L6" i="8"/>
  <c r="AB5" i="8"/>
  <c r="AA5" i="8"/>
  <c r="Y5" i="8"/>
  <c r="W5" i="8"/>
  <c r="L5" i="8"/>
  <c r="Y4" i="8"/>
  <c r="L4" i="8"/>
  <c r="AB3" i="8"/>
  <c r="AA3" i="8"/>
  <c r="Y3" i="8"/>
  <c r="L3" i="8"/>
  <c r="Y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D8" authorId="0" shapeId="0" xr:uid="{FCD4DC72-DB5E-4D8B-92C7-984C8F618EFE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Check in AGROS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B13" authorId="0" shapeId="0" xr:uid="{3045C7B2-4642-4C78-9B88-00B7CB1FE00A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Name of species was wrong, before was Descurainia tetraploid, but correct name is Descurainia sophiades*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B13" authorId="0" shapeId="0" xr:uid="{10B00BBF-60A3-42CB-A5C1-216832BF910B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Name of species was wrong, before was Descurainia tetraploid, but correct name is Descurainia sophiades*</t>
        </r>
      </text>
    </comment>
  </commentList>
</comments>
</file>

<file path=xl/sharedStrings.xml><?xml version="1.0" encoding="utf-8"?>
<sst xmlns="http://schemas.openxmlformats.org/spreadsheetml/2006/main" count="3097" uniqueCount="776">
  <si>
    <t>Total</t>
  </si>
  <si>
    <t>Per speed</t>
  </si>
  <si>
    <t>Growth speed</t>
  </si>
  <si>
    <t>Species</t>
  </si>
  <si>
    <t>Family</t>
  </si>
  <si>
    <t>Lineage</t>
  </si>
  <si>
    <t>Tribe</t>
  </si>
  <si>
    <t>Germination</t>
  </si>
  <si>
    <t>Wild/ Cultivated</t>
  </si>
  <si>
    <t>Life cycle</t>
  </si>
  <si>
    <t>Salt tolerant</t>
  </si>
  <si>
    <t>Dipping</t>
  </si>
  <si>
    <t>Genome</t>
  </si>
  <si>
    <t>Flowering</t>
  </si>
  <si>
    <t>Seeds available</t>
  </si>
  <si>
    <t>Fast</t>
  </si>
  <si>
    <t>yes</t>
  </si>
  <si>
    <t>Lobularia maritima</t>
  </si>
  <si>
    <t>Brassicaceae</t>
  </si>
  <si>
    <t>Expanded Lineage 2</t>
  </si>
  <si>
    <t>Anastaticeae</t>
  </si>
  <si>
    <t>Wild</t>
  </si>
  <si>
    <t>Annual or Perennial</t>
  </si>
  <si>
    <t>Arabidopsis thaliana</t>
  </si>
  <si>
    <t>Lineage 1</t>
  </si>
  <si>
    <t>Camelineae</t>
  </si>
  <si>
    <t>Annual</t>
  </si>
  <si>
    <t>Difficult</t>
  </si>
  <si>
    <t>Barbarea vulgaris</t>
  </si>
  <si>
    <t>Cardamineae</t>
  </si>
  <si>
    <t>Biennial or Perennial</t>
  </si>
  <si>
    <t>Erysium cheirantoides</t>
  </si>
  <si>
    <t>Erysimae</t>
  </si>
  <si>
    <t>Lepidium ruderale</t>
  </si>
  <si>
    <t>Lepidieae</t>
  </si>
  <si>
    <t>Annual or Biennial</t>
  </si>
  <si>
    <t>Malcomia maritima</t>
  </si>
  <si>
    <t>Malcolmieae</t>
  </si>
  <si>
    <t>Yes</t>
  </si>
  <si>
    <t>Brassica oleraceae</t>
  </si>
  <si>
    <t>Lineage 2</t>
  </si>
  <si>
    <t>Brassiceae</t>
  </si>
  <si>
    <t>Cultivated</t>
  </si>
  <si>
    <t xml:space="preserve">Annual </t>
  </si>
  <si>
    <t>Euclidium syriacum</t>
  </si>
  <si>
    <t>Lineage 3</t>
  </si>
  <si>
    <t>Euclidieae</t>
  </si>
  <si>
    <t>Pisum sativum</t>
  </si>
  <si>
    <t>Fabaceae</t>
  </si>
  <si>
    <t>Zea mays</t>
  </si>
  <si>
    <t>Poaceae</t>
  </si>
  <si>
    <t>Fast/Medium</t>
  </si>
  <si>
    <t xml:space="preserve">Berteroa incana </t>
  </si>
  <si>
    <t>Alysseae</t>
  </si>
  <si>
    <t>Medium</t>
  </si>
  <si>
    <t>Arabis glabra</t>
  </si>
  <si>
    <t>Arabidae</t>
  </si>
  <si>
    <t>Annual or Biennial or Perennial</t>
  </si>
  <si>
    <t>Arabidopsis lyrata</t>
  </si>
  <si>
    <t>?</t>
  </si>
  <si>
    <t>Camelina sativa crop</t>
  </si>
  <si>
    <t>Descurainia tetraploid</t>
  </si>
  <si>
    <t>Descurainieae</t>
  </si>
  <si>
    <t>Annual*(D. sophia)</t>
  </si>
  <si>
    <t>Brachypodium</t>
  </si>
  <si>
    <t>Brassica nigra</t>
  </si>
  <si>
    <t>Sinapis alba</t>
  </si>
  <si>
    <t>Sysimbrium irio</t>
  </si>
  <si>
    <t>Sisymbrieae</t>
  </si>
  <si>
    <t>Medicago truncatula</t>
  </si>
  <si>
    <t>Slow</t>
  </si>
  <si>
    <t>Cochlearia officinalis</t>
  </si>
  <si>
    <t>Cochlearieae</t>
  </si>
  <si>
    <t>Iberis amara</t>
  </si>
  <si>
    <t>Iberideae</t>
  </si>
  <si>
    <t>Brassica oleraceae Kimmeridge</t>
  </si>
  <si>
    <t>Annual?</t>
  </si>
  <si>
    <t>Isatis tinctoria</t>
  </si>
  <si>
    <t>Isatidae</t>
  </si>
  <si>
    <t>Solanum lycopersicum</t>
  </si>
  <si>
    <t>Solanaceae</t>
  </si>
  <si>
    <t>Nicotiana benthamiana</t>
  </si>
  <si>
    <t>Cucumis sativus</t>
  </si>
  <si>
    <t>Cucurbitaceae</t>
  </si>
  <si>
    <t>Sinapis arvensis</t>
  </si>
  <si>
    <t>Diplotaxis tenuifolia</t>
  </si>
  <si>
    <t>Perennial</t>
  </si>
  <si>
    <t>Brassica rapa</t>
  </si>
  <si>
    <t>Hirschfeldia incana</t>
  </si>
  <si>
    <t>no</t>
  </si>
  <si>
    <t>Capsella bursa-pastoris</t>
  </si>
  <si>
    <t>Camelina sativa</t>
  </si>
  <si>
    <t>Erysium cheiri</t>
  </si>
  <si>
    <t>Lepidium graminifolium</t>
  </si>
  <si>
    <t>Shrenkliella parvula</t>
  </si>
  <si>
    <t>Eutremea</t>
  </si>
  <si>
    <t>Descurainia sophia</t>
  </si>
  <si>
    <t>Medium/Slow</t>
  </si>
  <si>
    <t>Rorippa austriaca</t>
  </si>
  <si>
    <t>Sysimbrium officinale</t>
  </si>
  <si>
    <t>Bunias orientalis</t>
  </si>
  <si>
    <t>Buniadeae</t>
  </si>
  <si>
    <t>Cucurbita pepo</t>
  </si>
  <si>
    <t>Notes</t>
  </si>
  <si>
    <t>F1</t>
  </si>
  <si>
    <r>
      <t xml:space="preserve">Brassica oleraceae </t>
    </r>
    <r>
      <rPr>
        <b/>
        <sz val="10"/>
        <rFont val="Arial"/>
        <family val="2"/>
      </rPr>
      <t>- UN</t>
    </r>
  </si>
  <si>
    <t>F2</t>
  </si>
  <si>
    <t>soils taken</t>
  </si>
  <si>
    <t>F3</t>
  </si>
  <si>
    <t>F4</t>
  </si>
  <si>
    <t>F5</t>
  </si>
  <si>
    <t>F6</t>
  </si>
  <si>
    <t>F7</t>
  </si>
  <si>
    <t>F8</t>
  </si>
  <si>
    <t>F9</t>
  </si>
  <si>
    <t>F10</t>
  </si>
  <si>
    <t>Berteroa incana</t>
  </si>
  <si>
    <t>F11</t>
  </si>
  <si>
    <t>Euclydium syriacum</t>
  </si>
  <si>
    <t>F12</t>
  </si>
  <si>
    <t>Only soil control</t>
  </si>
  <si>
    <t>M1</t>
  </si>
  <si>
    <r>
      <t xml:space="preserve">Brassica oleraceae </t>
    </r>
    <r>
      <rPr>
        <b/>
        <sz val="10"/>
        <color rgb="FFFF0000"/>
        <rFont val="Arial"/>
        <family val="2"/>
      </rPr>
      <t>- UN</t>
    </r>
  </si>
  <si>
    <t>M2</t>
  </si>
  <si>
    <t>Medicago trunculata</t>
  </si>
  <si>
    <t>M3</t>
  </si>
  <si>
    <t>M4</t>
  </si>
  <si>
    <t>M5</t>
  </si>
  <si>
    <t>M6</t>
  </si>
  <si>
    <r>
      <t xml:space="preserve">Camelina sativa </t>
    </r>
    <r>
      <rPr>
        <b/>
        <sz val="10"/>
        <rFont val="Arial"/>
        <family val="2"/>
      </rPr>
      <t>crop</t>
    </r>
  </si>
  <si>
    <t>M7</t>
  </si>
  <si>
    <t>M8</t>
  </si>
  <si>
    <t>M9</t>
  </si>
  <si>
    <t xml:space="preserve">Brassica rapa </t>
  </si>
  <si>
    <t>M10</t>
  </si>
  <si>
    <t>M11</t>
  </si>
  <si>
    <t>M12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</si>
  <si>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</si>
  <si>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</si>
  <si>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</si>
  <si>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</si>
  <si>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</si>
  <si>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</si>
  <si>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</si>
  <si>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</si>
  <si>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</si>
  <si>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r>
      <t xml:space="preserve">B. oleraceae </t>
    </r>
    <r>
      <rPr>
        <b/>
        <sz val="10"/>
        <color rgb="FFFF0000"/>
        <rFont val="Arial"/>
        <family val="2"/>
      </rPr>
      <t>Kimmeridge</t>
    </r>
  </si>
  <si>
    <t>S10</t>
  </si>
  <si>
    <t>S11</t>
  </si>
  <si>
    <t>S12</t>
  </si>
  <si>
    <t>Sp_speed</t>
  </si>
  <si>
    <t>Sp_full_name</t>
  </si>
  <si>
    <t>Sp_abb_name</t>
  </si>
  <si>
    <t>Sp_Tribe</t>
  </si>
  <si>
    <t>Sp_Lineage_Walden</t>
  </si>
  <si>
    <t>Sp_Lineage_Old</t>
  </si>
  <si>
    <t>Sp_Family</t>
  </si>
  <si>
    <t>Sp_Guest</t>
  </si>
  <si>
    <t>Brassica_oleraceae_Rivera</t>
  </si>
  <si>
    <t>Bo_F</t>
  </si>
  <si>
    <t>lineage_II</t>
  </si>
  <si>
    <t>Berteroa_incana</t>
  </si>
  <si>
    <t>Bi</t>
  </si>
  <si>
    <t>e2</t>
  </si>
  <si>
    <t>Euclydium_syriacum</t>
  </si>
  <si>
    <t>Es</t>
  </si>
  <si>
    <t>lineage_III</t>
  </si>
  <si>
    <t>Soil_Fast</t>
  </si>
  <si>
    <t>S_F</t>
  </si>
  <si>
    <t>Soil</t>
  </si>
  <si>
    <t>Pisum_sativum</t>
  </si>
  <si>
    <t>Ps</t>
  </si>
  <si>
    <t>Fabeae</t>
  </si>
  <si>
    <t>F</t>
  </si>
  <si>
    <t>Zea_mays</t>
  </si>
  <si>
    <t>Zm</t>
  </si>
  <si>
    <t>Andropogoneae</t>
  </si>
  <si>
    <t>P</t>
  </si>
  <si>
    <t>Arabidopsis_thaliana</t>
  </si>
  <si>
    <t>At</t>
  </si>
  <si>
    <t>lineage_I</t>
  </si>
  <si>
    <t>Ec</t>
  </si>
  <si>
    <t>Barbarea_vulgaris</t>
  </si>
  <si>
    <t>Bv</t>
  </si>
  <si>
    <t>Malcomia_maritima</t>
  </si>
  <si>
    <t>Mm</t>
  </si>
  <si>
    <t>Lepidium_ruderale</t>
  </si>
  <si>
    <t>Lr</t>
  </si>
  <si>
    <t>Lobularia_maritima</t>
  </si>
  <si>
    <t>Lm</t>
  </si>
  <si>
    <t>Bo_M</t>
  </si>
  <si>
    <t>Sinapis_alba</t>
  </si>
  <si>
    <t>Sal</t>
  </si>
  <si>
    <t>Sysimbrium_irio</t>
  </si>
  <si>
    <t>Si</t>
  </si>
  <si>
    <t>Soil_Medium</t>
  </si>
  <si>
    <t>S_M</t>
  </si>
  <si>
    <t>Medicago_truncatula</t>
  </si>
  <si>
    <t>Mt</t>
  </si>
  <si>
    <t>Trifolieae</t>
  </si>
  <si>
    <t>Brachypodium_distachyon</t>
  </si>
  <si>
    <t>Bd</t>
  </si>
  <si>
    <t>Brachypodieae</t>
  </si>
  <si>
    <t>Arabidopsis_lyrata</t>
  </si>
  <si>
    <t>Al</t>
  </si>
  <si>
    <t>Descurainia_sophiades</t>
  </si>
  <si>
    <t>Ds</t>
  </si>
  <si>
    <t>Camelina_sativa</t>
  </si>
  <si>
    <t>Cas</t>
  </si>
  <si>
    <t>Turritis_glabra</t>
  </si>
  <si>
    <t>Tg</t>
  </si>
  <si>
    <t>Turritideae</t>
  </si>
  <si>
    <t>Brassica_nigra</t>
  </si>
  <si>
    <t>Bn</t>
  </si>
  <si>
    <t xml:space="preserve">Brassica_rapa </t>
  </si>
  <si>
    <t>Br</t>
  </si>
  <si>
    <t>Bo_S</t>
  </si>
  <si>
    <t>Sinapis_arvensis</t>
  </si>
  <si>
    <t>Sar</t>
  </si>
  <si>
    <t>Diplotaxis_tenuifolia</t>
  </si>
  <si>
    <t>Dt</t>
  </si>
  <si>
    <t>Soil_Slow</t>
  </si>
  <si>
    <t>S_S</t>
  </si>
  <si>
    <t>Solanum_lycopersicum</t>
  </si>
  <si>
    <t>Sl</t>
  </si>
  <si>
    <t>Solaneae</t>
  </si>
  <si>
    <t>S</t>
  </si>
  <si>
    <t>Nicotiana_benthamiana</t>
  </si>
  <si>
    <t>Nb</t>
  </si>
  <si>
    <t>Nicotianeae</t>
  </si>
  <si>
    <t>Cucumis_sativus</t>
  </si>
  <si>
    <t>Cus</t>
  </si>
  <si>
    <t>Benincaseae</t>
  </si>
  <si>
    <t>Cucurbitacea</t>
  </si>
  <si>
    <t>C</t>
  </si>
  <si>
    <t>Hirschfeldia_incana</t>
  </si>
  <si>
    <t>Hi</t>
  </si>
  <si>
    <t>Iberis_amara</t>
  </si>
  <si>
    <t>Ia</t>
  </si>
  <si>
    <t>Cochlearia_officinalis</t>
  </si>
  <si>
    <t>Co</t>
  </si>
  <si>
    <t>Isatis_tinctoria</t>
  </si>
  <si>
    <t>It</t>
  </si>
  <si>
    <t>Brassica_oleraceae_Kimmeridge</t>
  </si>
  <si>
    <t>BoK</t>
  </si>
  <si>
    <t>Chloroplast genome (Walden et al., 2020)</t>
  </si>
  <si>
    <t>ID</t>
  </si>
  <si>
    <t>Variety</t>
  </si>
  <si>
    <t>ITS_GeneBank</t>
  </si>
  <si>
    <t>rbcl_GeneBank</t>
  </si>
  <si>
    <t>matk_GeneBank</t>
  </si>
  <si>
    <t>ENA/GenBank code or Dryad doi published sequences</t>
  </si>
  <si>
    <t>SRA code/BioProject</t>
  </si>
  <si>
    <t>Same species?</t>
  </si>
  <si>
    <t>Whole genome (to be filled still)</t>
  </si>
  <si>
    <t>Aethionema arabicum</t>
  </si>
  <si>
    <t>outgroup</t>
  </si>
  <si>
    <t>GQ303494.1</t>
  </si>
  <si>
    <t>MG247209.1</t>
  </si>
  <si>
    <t>MK926052.1</t>
  </si>
  <si>
    <t>NC_034367</t>
  </si>
  <si>
    <t>PRJNA383510</t>
  </si>
  <si>
    <t>NA</t>
  </si>
  <si>
    <t>lineage I</t>
  </si>
  <si>
    <t>Camelinae</t>
  </si>
  <si>
    <t>AJ232900.1</t>
  </si>
  <si>
    <t>JN891749.1</t>
  </si>
  <si>
    <t>JN894751.1</t>
  </si>
  <si>
    <t>LN877383</t>
  </si>
  <si>
    <t>PRJNA284575</t>
  </si>
  <si>
    <t>Col-0</t>
  </si>
  <si>
    <t>DQ249853.1</t>
  </si>
  <si>
    <t>MK925510.1</t>
  </si>
  <si>
    <t>MK925660.1</t>
  </si>
  <si>
    <t>AP000423</t>
  </si>
  <si>
    <t>PRJNA13191</t>
  </si>
  <si>
    <t>Exp. lineage II</t>
  </si>
  <si>
    <t>Arabideae</t>
  </si>
  <si>
    <t>AJ232915.1</t>
  </si>
  <si>
    <t>JN891539.1</t>
  </si>
  <si>
    <t>JN894594.1</t>
  </si>
  <si>
    <t>HF934132</t>
  </si>
  <si>
    <t>PRJEB1719</t>
  </si>
  <si>
    <t>A. alpina</t>
  </si>
  <si>
    <t>EF514632.1</t>
  </si>
  <si>
    <t>KX678696.1</t>
  </si>
  <si>
    <t>KX677289.1</t>
  </si>
  <si>
    <t>NC_009269</t>
  </si>
  <si>
    <t>PRJNA19205</t>
  </si>
  <si>
    <t>B. verna</t>
  </si>
  <si>
    <t>DQ003644.1</t>
  </si>
  <si>
    <t>JN893428.1</t>
  </si>
  <si>
    <t>JN895965.1</t>
  </si>
  <si>
    <t>MK637655</t>
  </si>
  <si>
    <t>PRJEB38700</t>
  </si>
  <si>
    <t>Alyssum linifolium</t>
  </si>
  <si>
    <t>lineage II</t>
  </si>
  <si>
    <t>KT625477.1</t>
  </si>
  <si>
    <t>JN891540.1</t>
  </si>
  <si>
    <t>JN894595.1</t>
  </si>
  <si>
    <t xml:space="preserve">NC_030450.1 </t>
  </si>
  <si>
    <t>PRJNA311781</t>
  </si>
  <si>
    <t>Brassica oleraceae_K</t>
  </si>
  <si>
    <t>Kimmeridge</t>
  </si>
  <si>
    <t>DQ003652.1</t>
  </si>
  <si>
    <t>GQ184375.1</t>
  </si>
  <si>
    <t>KX783642.1</t>
  </si>
  <si>
    <t>Brassica oleraceae_R</t>
  </si>
  <si>
    <t>Riviera</t>
  </si>
  <si>
    <t>GQ268060.1</t>
  </si>
  <si>
    <t>MG191382.1</t>
  </si>
  <si>
    <t>MG191365.1</t>
  </si>
  <si>
    <t>FN599860.1</t>
  </si>
  <si>
    <t>MG249045.1</t>
  </si>
  <si>
    <t>MK925875.1</t>
  </si>
  <si>
    <t>NC_015139.1</t>
  </si>
  <si>
    <t>PRJNA63093</t>
  </si>
  <si>
    <t xml:space="preserve">Camelina sativa </t>
  </si>
  <si>
    <t>Crop</t>
  </si>
  <si>
    <t>HQ268642.1</t>
  </si>
  <si>
    <t>JN893155.1</t>
  </si>
  <si>
    <t>JN895761.1</t>
  </si>
  <si>
    <t>LN877386</t>
  </si>
  <si>
    <t>PRJNA284572</t>
  </si>
  <si>
    <t>HQ896616.1</t>
  </si>
  <si>
    <t>KC482526.1</t>
  </si>
  <si>
    <t>KC474537.1</t>
  </si>
  <si>
    <t>LN866845</t>
  </si>
  <si>
    <t>ERS1803522</t>
  </si>
  <si>
    <t>C. islandica</t>
  </si>
  <si>
    <t>Descurainia sophiades</t>
  </si>
  <si>
    <t>MW605071.1</t>
  </si>
  <si>
    <t>JN894958.1</t>
  </si>
  <si>
    <t>HE967405.1</t>
  </si>
  <si>
    <t>MK637707</t>
  </si>
  <si>
    <t>D. sophia</t>
  </si>
  <si>
    <t>DQ005989.1</t>
  </si>
  <si>
    <t>MN204794.1</t>
  </si>
  <si>
    <t>MN273630.1</t>
  </si>
  <si>
    <t>Erysimum cheirantoides</t>
  </si>
  <si>
    <t>DQ357544.1</t>
  </si>
  <si>
    <t>KY912024.1</t>
  </si>
  <si>
    <t>MK637711</t>
  </si>
  <si>
    <t>E. odoratum</t>
  </si>
  <si>
    <t>lineage III</t>
  </si>
  <si>
    <t>AY722470.1</t>
  </si>
  <si>
    <t>KF997351.1</t>
  </si>
  <si>
    <t>JN584990.1</t>
  </si>
  <si>
    <t>AJ440311.1</t>
  </si>
  <si>
    <t>MK924626.1</t>
  </si>
  <si>
    <t>MK926054.1</t>
  </si>
  <si>
    <t>AF384104.1</t>
  </si>
  <si>
    <t>MK925332.1</t>
  </si>
  <si>
    <t>MK926058.1</t>
  </si>
  <si>
    <t>MK637733</t>
  </si>
  <si>
    <t>JF976776.1</t>
  </si>
  <si>
    <t>JF942219.1</t>
  </si>
  <si>
    <t>JF954308.1</t>
  </si>
  <si>
    <t>MK637736</t>
  </si>
  <si>
    <t>EF514681.1</t>
  </si>
  <si>
    <t>KM892720.1</t>
  </si>
  <si>
    <t>KM892729.1</t>
  </si>
  <si>
    <t>MK637743</t>
  </si>
  <si>
    <t>L. sativum</t>
  </si>
  <si>
    <t>AM905723.1</t>
  </si>
  <si>
    <t>NC_049671.1</t>
  </si>
  <si>
    <t>NC_009274</t>
  </si>
  <si>
    <t>PRJNA19221</t>
  </si>
  <si>
    <t>Malcolmia maritima</t>
  </si>
  <si>
    <t>AF128106.1</t>
  </si>
  <si>
    <t>JN893672.1</t>
  </si>
  <si>
    <t>JN896230.1</t>
  </si>
  <si>
    <t>MK637751</t>
  </si>
  <si>
    <t>DQ249828.1</t>
  </si>
  <si>
    <t>JN893801.1</t>
  </si>
  <si>
    <t>JN896227.1</t>
  </si>
  <si>
    <t>AF531558.1</t>
  </si>
  <si>
    <t>MW174821.1</t>
  </si>
  <si>
    <t>MW188520.1</t>
  </si>
  <si>
    <t>NC_035303.1</t>
  </si>
  <si>
    <t>PRJNA353432</t>
  </si>
  <si>
    <t>EF093522.1</t>
  </si>
  <si>
    <t>EF208123.1</t>
  </si>
  <si>
    <t>JN000307.1</t>
  </si>
  <si>
    <t>MK637802</t>
  </si>
  <si>
    <t>S. officinale</t>
  </si>
  <si>
    <t>Walden et al., 2020. Same species?</t>
  </si>
  <si>
    <t>Walden et al.,2020 (GeneBank)</t>
  </si>
  <si>
    <t>Walden et al.,2020 (BioProject)</t>
  </si>
  <si>
    <t>keep=1</t>
  </si>
  <si>
    <t>chloroplast genome NCBI</t>
  </si>
  <si>
    <t>Nuclear genome</t>
  </si>
  <si>
    <t>Speed</t>
  </si>
  <si>
    <t>ITS_Reference</t>
  </si>
  <si>
    <t>rbcl_Reference</t>
  </si>
  <si>
    <t>matk_Reference</t>
  </si>
  <si>
    <t>ITS_Notes</t>
  </si>
  <si>
    <t>rbcL_Notes</t>
  </si>
  <si>
    <t>matK_Notes</t>
  </si>
  <si>
    <t>Seeds</t>
  </si>
  <si>
    <t>BrassiBase</t>
  </si>
  <si>
    <t>BOLD/Kuzmina,2016 (Herbarium Canada)</t>
  </si>
  <si>
    <t>BOLD/de Vere,2021 (National Botanic Garden Whales)</t>
  </si>
  <si>
    <t>*Appears as Arabidopsis petrea subsp. umbrosa</t>
  </si>
  <si>
    <t>BOLD/Jones,2021</t>
  </si>
  <si>
    <t>Klaas</t>
  </si>
  <si>
    <t>BrassiBase*</t>
  </si>
  <si>
    <t>*Turritis glabra in BrassiBase (Koch,2005). Arabis glabra (Koch, 1998) from Fitzpatrick,2017; AJ232925.1</t>
  </si>
  <si>
    <t>Turritis glabra</t>
  </si>
  <si>
    <t>Karen</t>
  </si>
  <si>
    <t>Rorippa islandica</t>
  </si>
  <si>
    <t>MK637784</t>
  </si>
  <si>
    <t>Tree 2021</t>
  </si>
  <si>
    <t>Erik</t>
  </si>
  <si>
    <t>Aurinia corymbosa</t>
  </si>
  <si>
    <t>BOLD/Fenneman,2016 (University of British Columbia)</t>
  </si>
  <si>
    <t>needs_addition</t>
  </si>
  <si>
    <t>PRJNA793985</t>
  </si>
  <si>
    <t>*var Capitata</t>
  </si>
  <si>
    <t>Wild Cabbage</t>
  </si>
  <si>
    <t>BOLD/Zhejiang University</t>
  </si>
  <si>
    <t>Elansary,2017 (Alexandria University)</t>
  </si>
  <si>
    <t>voucher Chunfeng</t>
  </si>
  <si>
    <t>Crop variety (for flowers it seem)</t>
  </si>
  <si>
    <t>Rieta</t>
  </si>
  <si>
    <t>BOLD/University of Cape Town</t>
  </si>
  <si>
    <t>*sub-species rapa</t>
  </si>
  <si>
    <t>*UNESCO survey</t>
  </si>
  <si>
    <t>Bejo_uncoated</t>
  </si>
  <si>
    <t>BOLD/Kuzmina,2016</t>
  </si>
  <si>
    <t>*cultivar Calena, &gt;3000bp sequence</t>
  </si>
  <si>
    <t>C. pyrenaica</t>
  </si>
  <si>
    <t>Robert van Loo (WR)</t>
  </si>
  <si>
    <t>BOLD/Canadian Museum of Nature</t>
  </si>
  <si>
    <t>Not in BB, nor in Google (?) as D. tetraploid, probably mistaken for D. sophiades (according to Klaas B.)</t>
  </si>
  <si>
    <t>PRJNA624903</t>
  </si>
  <si>
    <t>GeneBank direct submission</t>
  </si>
  <si>
    <t>*D.cretaceae in BrasiBase (AJ628309.1, AJ628310.1), D. tenuifolia found searching in GeneBank with MW605071.1</t>
  </si>
  <si>
    <t>E. bicolor</t>
  </si>
  <si>
    <t>GeneBank direct submission, published*</t>
  </si>
  <si>
    <t>GeneBank direct submission*</t>
  </si>
  <si>
    <t>Sequence retrieved from Chloroplast genome</t>
  </si>
  <si>
    <t>ERX2992696 (raw)</t>
  </si>
  <si>
    <t>Hinc0154-01</t>
  </si>
  <si>
    <t>GeneBank direct submission(Imperial College London)</t>
  </si>
  <si>
    <t>De Vere</t>
  </si>
  <si>
    <t>*Synonim of I. indigotica</t>
  </si>
  <si>
    <t>BOLD/China Plant BOL Group,2012</t>
  </si>
  <si>
    <t>L. ruderale in BrassiBase with ITS1 and ITS2 but no 5.8s (AJ582465.1, AJ582513.1) complete found searching in GeneBank with JF976776.1</t>
  </si>
  <si>
    <t>AJ582465.1, AJ582513.1</t>
  </si>
  <si>
    <t>GeneBank (NCBI Genome project)</t>
  </si>
  <si>
    <t>NC_045948.1</t>
  </si>
  <si>
    <t>PRJNA608311</t>
  </si>
  <si>
    <t>Horti_tops</t>
  </si>
  <si>
    <t>GeneBank (Korea, published)</t>
  </si>
  <si>
    <t>Incomplete sequence in BrassiBase, complete found searching in GeneBank with AY662289.1</t>
  </si>
  <si>
    <t>Renner et al., 2007</t>
  </si>
  <si>
    <t>BOLD</t>
  </si>
  <si>
    <t>*var. sativus</t>
  </si>
  <si>
    <t>JQ858260.1</t>
  </si>
  <si>
    <t>NC_003119.8</t>
  </si>
  <si>
    <t>Cunha et al., 2012</t>
  </si>
  <si>
    <t>GeneBank</t>
  </si>
  <si>
    <t>UvA</t>
  </si>
  <si>
    <t>DQ311988.1</t>
  </si>
  <si>
    <t>MG248509.1</t>
  </si>
  <si>
    <t>AB935092.1</t>
  </si>
  <si>
    <t>Elison et al., 2006</t>
  </si>
  <si>
    <t>*strain Margot Forde Forage Germplasm Centre Accession AL4997</t>
  </si>
  <si>
    <t>Brachypodium distachyon</t>
  </si>
  <si>
    <t>AF303399.1</t>
  </si>
  <si>
    <t>NC_011032.1</t>
  </si>
  <si>
    <t>Catalan et al., 2002</t>
  </si>
  <si>
    <t>Malin</t>
  </si>
  <si>
    <t>KU182535.1</t>
  </si>
  <si>
    <t>NC_001666.2</t>
  </si>
  <si>
    <t>*voucher Jeongseon5</t>
  </si>
  <si>
    <t>AJ492409.1</t>
  </si>
  <si>
    <t>Z00044.2</t>
  </si>
  <si>
    <t>AB040014.1</t>
  </si>
  <si>
    <t>Chase et al., 2003</t>
  </si>
  <si>
    <t>Sequence retrieved from Chloroplast genome of Nicotiana tabacum</t>
  </si>
  <si>
    <t>Sebastien</t>
  </si>
  <si>
    <t>DQ314157.1</t>
  </si>
  <si>
    <t>HQ590280.1</t>
  </si>
  <si>
    <t>HQ593449.1</t>
  </si>
  <si>
    <t>Dewitt-Smith et al., 2006</t>
  </si>
  <si>
    <t>*voucher UW-Madison Living Collections</t>
  </si>
  <si>
    <t>Roland</t>
  </si>
  <si>
    <t>out</t>
  </si>
  <si>
    <t>AY254539.1</t>
  </si>
  <si>
    <t>Chloroplast Genome</t>
  </si>
  <si>
    <t>#taxa</t>
  </si>
  <si>
    <t>Species_code</t>
  </si>
  <si>
    <t>Species_name</t>
  </si>
  <si>
    <t>Tribe(BrassiBase)</t>
  </si>
  <si>
    <t>Walden et al., 2020.Same species?</t>
  </si>
  <si>
    <t>Divergence time available elsewhere?</t>
  </si>
  <si>
    <t>Turritidae</t>
  </si>
  <si>
    <t>No Barbarea species included but Rorippa genus is the closest within Cardamineae tribe (Patsiou et al., 2020)</t>
  </si>
  <si>
    <t>No Berteroa species included but Aurinia corymbosa is the closest within Alysseae tribe (Patsiou et al., 2020)</t>
  </si>
  <si>
    <t>Divergence time of 2.98 Mya with B. rapa using chloroplast genome and same time-calibration as Walden (Li et al., 2017)</t>
  </si>
  <si>
    <t>Same genus but other species within Cochlearieae tribe</t>
  </si>
  <si>
    <t>Same genus but other species within Descurainieae tribe</t>
  </si>
  <si>
    <t>Divergence time of 6.47 Mya with B. napus/B. rapa branch using similar methods as in Walden, 2020 (Patsiou et al., 2020)</t>
  </si>
  <si>
    <t>Same genus but other species within Erysimae tribe</t>
  </si>
  <si>
    <t>Divergence time of 5.94 Mya with B. nigra/S. arvensis branch using similar methods as in Walden, 2020 (Patsiou et al., 2020)</t>
  </si>
  <si>
    <t>Same genus but other species within Lepidieae tribe</t>
  </si>
  <si>
    <t>Sinapis genus is not monophyletic*</t>
  </si>
  <si>
    <t>Same genus but other species within Sisymbriae tribe</t>
  </si>
  <si>
    <t>Current List</t>
  </si>
  <si>
    <t>Selection</t>
  </si>
  <si>
    <t>Species / ssp / var</t>
  </si>
  <si>
    <t>Tested</t>
  </si>
  <si>
    <t>Round</t>
  </si>
  <si>
    <t>Germinated</t>
  </si>
  <si>
    <t>Efficiency%</t>
  </si>
  <si>
    <t>Number of seeds needed</t>
  </si>
  <si>
    <t>Year</t>
  </si>
  <si>
    <t>Ready</t>
  </si>
  <si>
    <t>AGROS</t>
  </si>
  <si>
    <t>Status</t>
  </si>
  <si>
    <t>Buying</t>
  </si>
  <si>
    <t>#Tubes</t>
  </si>
  <si>
    <t>Number tube</t>
  </si>
  <si>
    <t>#seeds</t>
  </si>
  <si>
    <t>#grams</t>
  </si>
  <si>
    <t>grams/seed</t>
  </si>
  <si>
    <t>Amount available (g)</t>
  </si>
  <si>
    <t>Amount available (seeds)</t>
  </si>
  <si>
    <t>Seeds to germinate</t>
  </si>
  <si>
    <t>Amount to weigh</t>
  </si>
  <si>
    <t>Seeds to UU (300)</t>
  </si>
  <si>
    <t>number of seeds (Kyra)</t>
  </si>
  <si>
    <t>Location</t>
  </si>
  <si>
    <t>Types</t>
  </si>
  <si>
    <t>Germination (Daan)</t>
  </si>
  <si>
    <t>Tricks/notes (Daan)</t>
  </si>
  <si>
    <t>Year/Place</t>
  </si>
  <si>
    <t>No</t>
  </si>
  <si>
    <t>Aethionemeae</t>
  </si>
  <si>
    <t>Unassigned</t>
  </si>
  <si>
    <t>Alliaria petiolata</t>
  </si>
  <si>
    <t>Thlaspideae</t>
  </si>
  <si>
    <t>round 1</t>
  </si>
  <si>
    <t xml:space="preserve">Difficult to germinate, eaten by birds </t>
  </si>
  <si>
    <t>&gt;500</t>
  </si>
  <si>
    <t>*2 types of those in Kyra's excel</t>
  </si>
  <si>
    <t>Very Low to no germination</t>
  </si>
  <si>
    <t>seeds sterilized,coldshock, germinated in petri dish, peeled open after about 4 weeks</t>
  </si>
  <si>
    <t>2019, office, no more available.</t>
  </si>
  <si>
    <r>
      <t xml:space="preserve">Alliaria petiolata </t>
    </r>
    <r>
      <rPr>
        <sz val="11"/>
        <color theme="4"/>
        <rFont val="Calibri"/>
        <family val="2"/>
      </rPr>
      <t>oke seeds</t>
    </r>
  </si>
  <si>
    <t>round 4</t>
  </si>
  <si>
    <t>M</t>
  </si>
  <si>
    <t>round 6,9</t>
  </si>
  <si>
    <t>Propagating</t>
  </si>
  <si>
    <t>email sent Klas</t>
  </si>
  <si>
    <t>Ask Klas Bouwmeester</t>
  </si>
  <si>
    <t>round 6</t>
  </si>
  <si>
    <t>difficult</t>
  </si>
  <si>
    <t>&gt;1000</t>
  </si>
  <si>
    <t xml:space="preserve">Low </t>
  </si>
  <si>
    <t>cold treatment 4C, overnight in soil at 4C</t>
  </si>
  <si>
    <t>2020 also available, still needs processing.</t>
  </si>
  <si>
    <t>Ok</t>
  </si>
  <si>
    <t>seeds sterilized,coldshock, germinated in petri dish and also Ok directly on soil</t>
  </si>
  <si>
    <t>2019, office (more available to process)</t>
  </si>
  <si>
    <t>round 2</t>
  </si>
  <si>
    <t>Yes, more to clean</t>
  </si>
  <si>
    <t>More to be cleaned, count tubes</t>
  </si>
  <si>
    <t>email sent to Kyra</t>
  </si>
  <si>
    <t>Synonym of Erysium barbarea</t>
  </si>
  <si>
    <t>Very little (but more than 100)</t>
  </si>
  <si>
    <t>seeds sterilized,, left wet for 24 hours, coldshock (3 days), -20 for 1 hour, germinated in petri dish. Low germination directly on soil</t>
  </si>
  <si>
    <t>Multiplication*2020. Can be processed</t>
  </si>
  <si>
    <t>Weigh</t>
  </si>
  <si>
    <t>&gt;400</t>
  </si>
  <si>
    <t>Low</t>
  </si>
  <si>
    <t>21-25 from 100-150 seeds, 4 days until germination.</t>
  </si>
  <si>
    <t>Multiplication* 2020. Some available from 2016</t>
  </si>
  <si>
    <t>easy</t>
  </si>
  <si>
    <t>Plenty (3 tubes)</t>
  </si>
  <si>
    <t>31 from 100, 200 from 500 seeds germinated, 2-4 days until germination</t>
  </si>
  <si>
    <t>2018, cold room</t>
  </si>
  <si>
    <t>Brassica oleracea  Riviera uncoated</t>
  </si>
  <si>
    <t>Brassica oleracea Kimmeridge</t>
  </si>
  <si>
    <t>email sent Rieta</t>
  </si>
  <si>
    <t>Mixture of 15 Kimmeridge mother plants, 1g per mother plant.</t>
  </si>
  <si>
    <t>Ask Rita Grols</t>
  </si>
  <si>
    <t>Brassica oleracea Riviera coated</t>
  </si>
  <si>
    <t>email sent Luuk</t>
  </si>
  <si>
    <t xml:space="preserve">Very little </t>
  </si>
  <si>
    <t>*3 types of those in Kyra's excel</t>
  </si>
  <si>
    <t xml:space="preserve">Good </t>
  </si>
  <si>
    <t>seeds sterilized,, left wet for 24 hours, coldshock (3 days), -20 for 1 hour, germinated in petri dish</t>
  </si>
  <si>
    <t>Ask Luuk Croijmans</t>
  </si>
  <si>
    <t>Needs process</t>
  </si>
  <si>
    <t>Very good</t>
  </si>
  <si>
    <t>80 to &gt;90/100 germinated, Ok sown directly on soil</t>
  </si>
  <si>
    <t>2016, cold room (Multiplication*2020)</t>
  </si>
  <si>
    <t xml:space="preserve">Bunias orientalis </t>
  </si>
  <si>
    <t>round 5, 9</t>
  </si>
  <si>
    <t>Cakile maritima</t>
  </si>
  <si>
    <t>Needs peeling</t>
  </si>
  <si>
    <t>2018, office</t>
  </si>
  <si>
    <t>e</t>
  </si>
  <si>
    <t>Camellina sativa</t>
  </si>
  <si>
    <t>Pieris doesn't like it*. 2020 also available, still needs processing</t>
  </si>
  <si>
    <t>63 to &gt;90/100 germinated, Ok sown directly on soil</t>
  </si>
  <si>
    <t>2017, cold room</t>
  </si>
  <si>
    <t>Camellina sativa crop</t>
  </si>
  <si>
    <t>round 7</t>
  </si>
  <si>
    <t>Pieris doesn't like it</t>
  </si>
  <si>
    <t>Enough (3 tubes)</t>
  </si>
  <si>
    <t>66/575 germinated, Ok sown directly on soil</t>
  </si>
  <si>
    <t>2016, cold room</t>
  </si>
  <si>
    <t>Cardamine hirsuta</t>
  </si>
  <si>
    <t>Lots of little trash. 2020 also available (still needs processing)</t>
  </si>
  <si>
    <t>In february ok germination directly in soil. After that germination lost, even after cold shock. Seeds sterilized,coldshock (1 day), germinated in petri dish</t>
  </si>
  <si>
    <t>2019, office</t>
  </si>
  <si>
    <t>Cardamine impatience</t>
  </si>
  <si>
    <t>round 5</t>
  </si>
  <si>
    <t>Caulanthus amplexicaulis</t>
  </si>
  <si>
    <t>Thelypodieae</t>
  </si>
  <si>
    <t>Cleome gynandra</t>
  </si>
  <si>
    <t>Heliophileae</t>
  </si>
  <si>
    <r>
      <t xml:space="preserve">Cochlearia offficinalis </t>
    </r>
    <r>
      <rPr>
        <sz val="11"/>
        <color theme="4"/>
        <rFont val="Calibri"/>
        <family val="2"/>
      </rPr>
      <t>oke seeds</t>
    </r>
  </si>
  <si>
    <t>Expanded Lineage 1</t>
  </si>
  <si>
    <t>full bag  unopened</t>
  </si>
  <si>
    <t>round 3</t>
  </si>
  <si>
    <t>De Bolster (2.69 euro/ 600 seeds)</t>
  </si>
  <si>
    <t>Perhaps not too many seeds, commercially available (De Bolster), current from 2018</t>
  </si>
  <si>
    <t>2019, office (2/3). Multiplication*2020</t>
  </si>
  <si>
    <t>Coronopus didymus</t>
  </si>
  <si>
    <t>*Check because it's called Lepidium now</t>
  </si>
  <si>
    <t xml:space="preserve">2019 (3/4) + 2020 still needs to be processed </t>
  </si>
  <si>
    <t>Crambe maritima</t>
  </si>
  <si>
    <t>Cruydt Hoek (per gram/per bag)</t>
  </si>
  <si>
    <t>? Grower in Zeeland who might seel them</t>
  </si>
  <si>
    <t>Multiplication*2020</t>
  </si>
  <si>
    <t>Needs process, subset cleaned</t>
  </si>
  <si>
    <t>More to be cleaned, count bags</t>
  </si>
  <si>
    <t>1 10ml tube</t>
  </si>
  <si>
    <t>Wait for 2020 seeds to germinate in January. Still on the field</t>
  </si>
  <si>
    <t>2016, cold room (Multiplication*)</t>
  </si>
  <si>
    <t xml:space="preserve">Weight of 1 tube, there's 8 tubes more </t>
  </si>
  <si>
    <t>1 small tube</t>
  </si>
  <si>
    <t>&lt;300</t>
  </si>
  <si>
    <t>*2020 to be cleaned</t>
  </si>
  <si>
    <t>12/130 germinated, Ok sown directly on soil</t>
  </si>
  <si>
    <t>Field 2020, needs to be processed</t>
  </si>
  <si>
    <t>Erysimum cheiranthoides</t>
  </si>
  <si>
    <t>Plenty (Big glass jar)</t>
  </si>
  <si>
    <t>*4 types of those in Kyra's excel</t>
  </si>
  <si>
    <t>Good</t>
  </si>
  <si>
    <t>67/479 germinated, Ok sown directly on soil</t>
  </si>
  <si>
    <t>1 bag</t>
  </si>
  <si>
    <t>1 paper bag full</t>
  </si>
  <si>
    <t>No more info</t>
  </si>
  <si>
    <t>Not in De Bolster</t>
  </si>
  <si>
    <t xml:space="preserve">1st, Ask Klas Bouwmeester. Small batch from Erik can be available (Genome accession). </t>
  </si>
  <si>
    <t xml:space="preserve">seeds sterilized,coldshock, germinated in petri dish. There are reports that seed may take 9-10 days to germinate, and require 5-7 days of cold treatment. </t>
  </si>
  <si>
    <t>Not sure if multiplied* seeds can be ordered</t>
  </si>
  <si>
    <t>4 days until germination, Ok sown directly on soil</t>
  </si>
  <si>
    <t>Lepidium graminifolium*</t>
  </si>
  <si>
    <t>Seeds seem to have fungi around</t>
  </si>
  <si>
    <t>Lepidium latifolium</t>
  </si>
  <si>
    <t>Check bags</t>
  </si>
  <si>
    <t>Not yet collected</t>
  </si>
  <si>
    <t>seeds sterilized,coldshock (7 weeks) with giberlic acid, germinated in petri dish. In 2017 15 min -20. 2 days 4 degrees. 4 days Rt. Greenhouse directly on soil</t>
  </si>
  <si>
    <t>Flower next spring - NA</t>
  </si>
  <si>
    <t>seeds sterilized,coldshock, germinated in petri dish, Low germination directly on soil</t>
  </si>
  <si>
    <t>Seeds from 2020 available, need to be processed</t>
  </si>
  <si>
    <t>Lepidium sativum</t>
  </si>
  <si>
    <t xml:space="preserve">Lobularia maritima </t>
  </si>
  <si>
    <t>1/4 tube</t>
  </si>
  <si>
    <t>Might be salt tolerant</t>
  </si>
  <si>
    <t>Can be ordered (Horti tops)</t>
  </si>
  <si>
    <r>
      <t xml:space="preserve">Malcomia maritima </t>
    </r>
    <r>
      <rPr>
        <sz val="11"/>
        <color theme="4"/>
        <rFont val="Calibri"/>
        <family val="2"/>
      </rPr>
      <t>Horti Tops</t>
    </r>
  </si>
  <si>
    <t>Raphanus raphanistrum</t>
  </si>
  <si>
    <t>1 nasi</t>
  </si>
  <si>
    <t>Seeds are still in pods, total weight is a calculation by eye.</t>
  </si>
  <si>
    <t xml:space="preserve">2018, cold room </t>
  </si>
  <si>
    <t>Rapistrum rugosum</t>
  </si>
  <si>
    <t>pain to germinate</t>
  </si>
  <si>
    <t>round 7, 9</t>
  </si>
  <si>
    <t>Rorippa palustris</t>
  </si>
  <si>
    <t>Rorippa sylvestris</t>
  </si>
  <si>
    <t>Very Low</t>
  </si>
  <si>
    <t>15 min -20. 2 days 4 degrees. 4 days Rt. Greenhouse directly on soil</t>
  </si>
  <si>
    <t>Schrenkiella parvula</t>
  </si>
  <si>
    <t>1 eppendorf</t>
  </si>
  <si>
    <t>Zulema*</t>
  </si>
  <si>
    <t>7 day stratification needed, 4 degrees. Good germination efficiency (around 90%)</t>
  </si>
  <si>
    <t>Zulema</t>
  </si>
  <si>
    <t>Seeds might have fungi around</t>
  </si>
  <si>
    <t>Seeds might have fungi around. 2020 also available, still needs processing.</t>
  </si>
  <si>
    <t xml:space="preserve">Plenty </t>
  </si>
  <si>
    <t>2016/2017</t>
  </si>
  <si>
    <t xml:space="preserve">cold treatment, 14-16/100 germinated </t>
  </si>
  <si>
    <t>Sisymbrium officinale</t>
  </si>
  <si>
    <t>Current from 2016</t>
  </si>
  <si>
    <t>Plenty (0,5 tube)</t>
  </si>
  <si>
    <t>53/828 germinated, very low sown directly on soil</t>
  </si>
  <si>
    <t>Thlaspi arvense</t>
  </si>
  <si>
    <t>Genome accession</t>
  </si>
  <si>
    <t>Plenty (0,75 tube)</t>
  </si>
  <si>
    <t>in nasi box, 3 days 4 degrees in soil. Than in Ecolab</t>
  </si>
  <si>
    <t>Rounds_info</t>
  </si>
  <si>
    <t>Tab</t>
  </si>
  <si>
    <t>Contains growth, germination and seed number data for 54 sp of Brassicaceae plant species from which the final species were selected</t>
  </si>
  <si>
    <t>Selection_criter</t>
  </si>
  <si>
    <t>Information of traits considered important for the sub-selection of 11 species per speed (guest species included)</t>
  </si>
  <si>
    <t>Printed_final</t>
  </si>
  <si>
    <t>Phylogeny_sequences</t>
  </si>
  <si>
    <r>
      <t xml:space="preserve">Final selection of 24 Brassicaceae species for Family Experiment, including guest species (+7) and Bole (+2) in each speed round. Printed sheet with species code used in the greenhouse. Conditioned soils were taken and stored for species marked in </t>
    </r>
    <r>
      <rPr>
        <b/>
        <sz val="11"/>
        <color rgb="FFFF0000"/>
        <rFont val="Calibri"/>
        <family val="2"/>
        <scheme val="minor"/>
      </rPr>
      <t xml:space="preserve">red  </t>
    </r>
  </si>
  <si>
    <t>Phylogenetic information available for selected 24 Brassicaceae species. Mostly; genebank accession numbers for matK, rbcL and ITS genes and full chloroplast genome accession number retrieved from Walden et al., 2020 phylogeny.</t>
  </si>
  <si>
    <t>Nora's tree</t>
  </si>
  <si>
    <t>Phylogenetic Information retrieved for selected 24 Brassicaceae species from Walden et al., 2020 paper. Includes whether same species or same lineage were used as a replacement to reconstruct phylogenetic tree</t>
  </si>
  <si>
    <t>Accession_numbers</t>
  </si>
  <si>
    <t>Sheet sent to Chrats Melkonian (February 2022) summarizing available information in GeneBank of accession numbers for marker genes as well as chloroplast genomes.</t>
  </si>
  <si>
    <t>Plant_species_phylogeny_metadat</t>
  </si>
  <si>
    <t>Phylogenetic information used as metadata for sample_data in phyloseq object of 16S and ITS communities</t>
  </si>
  <si>
    <t>Description</t>
  </si>
  <si>
    <t>Genome_Info</t>
  </si>
  <si>
    <t>Copy of 'Accession_numbers' tab, with new search for full genomes/chloroplast genomes (December 2022)</t>
  </si>
  <si>
    <t>Hendriks et al., 2022</t>
  </si>
  <si>
    <t>NC_034379.1</t>
  </si>
  <si>
    <t>D. harra</t>
  </si>
  <si>
    <t>Chloroplast genome Fasta/.Txt file?</t>
  </si>
  <si>
    <t>Whole genome</t>
  </si>
  <si>
    <t>GCA_001920985.1</t>
  </si>
  <si>
    <t>Source</t>
  </si>
  <si>
    <t>NCBI taxonomy</t>
  </si>
  <si>
    <t>Alyssum linifolium; Meniocus linifolius</t>
  </si>
  <si>
    <t>Alyssum saxatile; Aurinia saxatilis</t>
  </si>
  <si>
    <t>GCA_900406295.1</t>
  </si>
  <si>
    <t>GCA_016432835.1</t>
  </si>
  <si>
    <t>KR233156.1</t>
  </si>
  <si>
    <t>*Not from Walden et al., 2020; Searched elsewhere</t>
  </si>
  <si>
    <t>Paper</t>
  </si>
  <si>
    <r>
      <rPr>
        <i/>
        <sz val="10"/>
        <rFont val="Arial"/>
        <family val="2"/>
      </rPr>
      <t>B. oleracea</t>
    </r>
    <r>
      <rPr>
        <sz val="10"/>
        <rFont val="Arial"/>
        <family val="2"/>
      </rPr>
      <t xml:space="preserve"> var capitata</t>
    </r>
  </si>
  <si>
    <t>GCA_018177695.1</t>
  </si>
  <si>
    <t>1, 2 more genomes available</t>
  </si>
  <si>
    <t>GCA_900416815.2</t>
  </si>
  <si>
    <t>Reference genome available but for B. oleracea var. oleracea GCA_000695525.1</t>
  </si>
  <si>
    <t>NC_041167.1</t>
  </si>
  <si>
    <t>GCA_000309985.3</t>
  </si>
  <si>
    <t>GCF_000633955.1</t>
  </si>
  <si>
    <t>1, "wild"</t>
  </si>
  <si>
    <t>GCA_900406305.1</t>
  </si>
  <si>
    <t>D. sophioides</t>
  </si>
  <si>
    <t>Phytozome</t>
  </si>
  <si>
    <t>482 </t>
  </si>
  <si>
    <t>GCA_014822095.1</t>
  </si>
  <si>
    <t>GCA_011420285.1</t>
  </si>
  <si>
    <t>GCA_900116095.1</t>
  </si>
  <si>
    <t>CM048460.1</t>
  </si>
  <si>
    <t>GCA_026261945.1</t>
  </si>
  <si>
    <t>GCA_900406375.1</t>
  </si>
  <si>
    <t>GCA_010577795.1</t>
  </si>
  <si>
    <t>GCA_023374145.1</t>
  </si>
  <si>
    <t>477 </t>
  </si>
  <si>
    <t>Anastatica hierochuntica</t>
  </si>
  <si>
    <t>GCA_900406275.1</t>
  </si>
  <si>
    <t>GCA_012274485.2</t>
  </si>
  <si>
    <t>Sisymbrium irio</t>
  </si>
  <si>
    <t>GCA_000411075.1</t>
  </si>
  <si>
    <t>GCA_000004255.1</t>
  </si>
  <si>
    <t>Genome Fasta/.Txt file?</t>
  </si>
  <si>
    <t>GCA_000001735.2</t>
  </si>
  <si>
    <t>GCA_900406565.1</t>
  </si>
  <si>
    <t>GCA_000411095.1</t>
  </si>
  <si>
    <t>Hendriks et al., 2023. Same species?</t>
  </si>
  <si>
    <t>Arabis alpina</t>
  </si>
  <si>
    <t>Barbarea auriculata/vulgaris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</si>
</sst>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i/>
      <sz val="10"/>
      <color rgb="FFFF0000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rgb="FF0563C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1"/>
    </font>
    <font>
      <i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sz val="11"/>
      <color rgb="FFFF0000"/>
      <name val="Calibri"/>
      <family val="2"/>
    </font>
    <font>
      <i/>
      <sz val="11"/>
      <color theme="4"/>
      <name val="Calibri"/>
      <family val="2"/>
    </font>
    <font>
      <sz val="11"/>
      <color theme="4"/>
      <name val="Calibri"/>
      <family val="2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212121"/>
      <name val="Roboto"/>
    </font>
    <font>
      <sz val="10"/>
      <color rgb="FFFF0000"/>
      <name val="Roboto"/>
    </font>
    <font>
      <sz val="11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7E597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81B7F3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E1C2A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6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0" xfId="0" applyFill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8" borderId="0" xfId="0" applyFill="1"/>
    <xf numFmtId="0" fontId="0" fillId="11" borderId="1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11" borderId="0" xfId="0" applyFill="1"/>
    <xf numFmtId="0" fontId="0" fillId="0" borderId="1" xfId="0" applyBorder="1"/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0" xfId="0" applyFill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14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 wrapText="1" readingOrder="1"/>
    </xf>
    <xf numFmtId="0" fontId="14" fillId="15" borderId="1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12" fillId="0" borderId="0" xfId="0" applyFont="1"/>
    <xf numFmtId="0" fontId="17" fillId="0" borderId="1" xfId="0" applyFont="1" applyBorder="1" applyAlignment="1">
      <alignment horizontal="left" vertical="center" wrapText="1" readingOrder="1"/>
    </xf>
    <xf numFmtId="0" fontId="18" fillId="0" borderId="1" xfId="0" applyFont="1" applyBorder="1" applyAlignment="1">
      <alignment horizontal="left" vertical="center" wrapText="1" readingOrder="1"/>
    </xf>
    <xf numFmtId="0" fontId="14" fillId="16" borderId="1" xfId="0" applyFont="1" applyFill="1" applyBorder="1" applyAlignment="1">
      <alignment horizontal="center" vertical="center" wrapText="1" readingOrder="1"/>
    </xf>
    <xf numFmtId="0" fontId="14" fillId="17" borderId="1" xfId="0" applyFont="1" applyFill="1" applyBorder="1" applyAlignment="1">
      <alignment horizontal="center" vertical="center" wrapText="1" readingOrder="1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/>
    </xf>
    <xf numFmtId="0" fontId="22" fillId="0" borderId="1" xfId="2" applyFont="1" applyFill="1" applyBorder="1" applyAlignment="1">
      <alignment horizontal="center" vertical="center"/>
    </xf>
    <xf numFmtId="0" fontId="22" fillId="0" borderId="1" xfId="2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 readingOrder="1"/>
    </xf>
    <xf numFmtId="0" fontId="21" fillId="0" borderId="0" xfId="0" applyFont="1" applyAlignment="1">
      <alignment horizontal="center" vertical="center" wrapText="1" readingOrder="1"/>
    </xf>
    <xf numFmtId="0" fontId="21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21" fillId="16" borderId="0" xfId="0" applyFont="1" applyFill="1" applyAlignment="1">
      <alignment horizontal="center" vertical="center" wrapText="1" readingOrder="1"/>
    </xf>
    <xf numFmtId="0" fontId="20" fillId="0" borderId="0" xfId="2" applyAlignment="1">
      <alignment horizontal="center" vertical="center"/>
    </xf>
    <xf numFmtId="0" fontId="20" fillId="0" borderId="0" xfId="2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1" fillId="15" borderId="0" xfId="0" applyFont="1" applyFill="1" applyAlignment="1">
      <alignment horizontal="center" vertical="center" wrapText="1" readingOrder="1"/>
    </xf>
    <xf numFmtId="0" fontId="21" fillId="0" borderId="0" xfId="0" applyFont="1" applyAlignment="1">
      <alignment horizontal="center" wrapText="1"/>
    </xf>
    <xf numFmtId="0" fontId="27" fillId="0" borderId="0" xfId="0" applyFont="1" applyAlignment="1">
      <alignment horizontal="center" vertical="center" wrapText="1" readingOrder="1"/>
    </xf>
    <xf numFmtId="0" fontId="21" fillId="17" borderId="0" xfId="0" applyFont="1" applyFill="1" applyAlignment="1">
      <alignment horizontal="center" vertical="center" wrapText="1" readingOrder="1"/>
    </xf>
    <xf numFmtId="0" fontId="28" fillId="0" borderId="0" xfId="0" applyFont="1" applyAlignment="1">
      <alignment horizontal="center"/>
    </xf>
    <xf numFmtId="0" fontId="20" fillId="0" borderId="0" xfId="2" applyFill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 readingOrder="1"/>
    </xf>
    <xf numFmtId="0" fontId="2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0" fontId="4" fillId="0" borderId="1" xfId="1" applyFont="1" applyBorder="1" applyAlignment="1">
      <alignment horizontal="center" wrapText="1"/>
    </xf>
    <xf numFmtId="0" fontId="4" fillId="13" borderId="1" xfId="1" applyFont="1" applyFill="1" applyBorder="1" applyAlignment="1">
      <alignment horizontal="center" wrapText="1"/>
    </xf>
    <xf numFmtId="0" fontId="4" fillId="18" borderId="1" xfId="1" applyFont="1" applyFill="1" applyBorder="1" applyAlignment="1">
      <alignment horizontal="center" wrapText="1"/>
    </xf>
    <xf numFmtId="0" fontId="4" fillId="19" borderId="0" xfId="1" applyFont="1" applyFill="1" applyAlignment="1">
      <alignment horizontal="center" wrapText="1"/>
    </xf>
    <xf numFmtId="0" fontId="33" fillId="0" borderId="1" xfId="0" applyFont="1" applyBorder="1"/>
    <xf numFmtId="0" fontId="34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13" borderId="1" xfId="0" applyFill="1" applyBorder="1"/>
    <xf numFmtId="1" fontId="5" fillId="13" borderId="1" xfId="1" applyNumberFormat="1" applyFont="1" applyFill="1" applyBorder="1" applyAlignment="1">
      <alignment horizontal="center"/>
    </xf>
    <xf numFmtId="0" fontId="0" fillId="18" borderId="1" xfId="0" applyFill="1" applyBorder="1"/>
    <xf numFmtId="0" fontId="5" fillId="19" borderId="0" xfId="1" applyFont="1" applyFill="1" applyAlignment="1">
      <alignment horizontal="left"/>
    </xf>
    <xf numFmtId="0" fontId="35" fillId="0" borderId="1" xfId="1" applyFont="1" applyBorder="1" applyAlignment="1">
      <alignment horizontal="center"/>
    </xf>
    <xf numFmtId="0" fontId="36" fillId="0" borderId="1" xfId="1" applyFont="1" applyBorder="1"/>
    <xf numFmtId="0" fontId="36" fillId="0" borderId="1" xfId="1" applyFont="1" applyBorder="1" applyAlignment="1">
      <alignment horizontal="center"/>
    </xf>
    <xf numFmtId="9" fontId="11" fillId="0" borderId="1" xfId="1" applyNumberFormat="1" applyFont="1" applyBorder="1" applyAlignment="1">
      <alignment horizontal="center"/>
    </xf>
    <xf numFmtId="0" fontId="5" fillId="13" borderId="1" xfId="1" applyFont="1" applyFill="1" applyBorder="1" applyAlignment="1">
      <alignment horizontal="left"/>
    </xf>
    <xf numFmtId="0" fontId="5" fillId="13" borderId="1" xfId="1" applyFont="1" applyFill="1" applyBorder="1" applyAlignment="1">
      <alignment horizontal="center"/>
    </xf>
    <xf numFmtId="164" fontId="5" fillId="13" borderId="1" xfId="1" applyNumberFormat="1" applyFont="1" applyFill="1" applyBorder="1" applyAlignment="1">
      <alignment horizontal="center"/>
    </xf>
    <xf numFmtId="0" fontId="5" fillId="18" borderId="1" xfId="1" applyFont="1" applyFill="1" applyBorder="1" applyAlignment="1">
      <alignment horizontal="left"/>
    </xf>
    <xf numFmtId="0" fontId="37" fillId="18" borderId="1" xfId="1" applyFont="1" applyFill="1" applyBorder="1" applyAlignment="1">
      <alignment horizontal="left"/>
    </xf>
    <xf numFmtId="0" fontId="38" fillId="0" borderId="1" xfId="1" applyFont="1" applyBorder="1"/>
    <xf numFmtId="0" fontId="2" fillId="0" borderId="1" xfId="1" applyFont="1" applyBorder="1" applyAlignment="1">
      <alignment horizontal="center"/>
    </xf>
    <xf numFmtId="165" fontId="5" fillId="13" borderId="1" xfId="1" applyNumberFormat="1" applyFont="1" applyFill="1" applyBorder="1" applyAlignment="1">
      <alignment horizontal="center"/>
    </xf>
    <xf numFmtId="1" fontId="37" fillId="13" borderId="1" xfId="1" applyNumberFormat="1" applyFont="1" applyFill="1" applyBorder="1" applyAlignment="1">
      <alignment horizontal="center"/>
    </xf>
    <xf numFmtId="0" fontId="0" fillId="19" borderId="0" xfId="0" applyFill="1"/>
    <xf numFmtId="0" fontId="36" fillId="20" borderId="1" xfId="1" applyFont="1" applyFill="1" applyBorder="1"/>
    <xf numFmtId="1" fontId="11" fillId="0" borderId="1" xfId="1" applyNumberFormat="1" applyFont="1" applyBorder="1" applyAlignment="1">
      <alignment horizontal="center"/>
    </xf>
    <xf numFmtId="0" fontId="5" fillId="13" borderId="1" xfId="1" applyFont="1" applyFill="1" applyBorder="1" applyAlignment="1">
      <alignment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38" fillId="0" borderId="1" xfId="1" applyFont="1" applyBorder="1" applyAlignment="1">
      <alignment vertical="center"/>
    </xf>
    <xf numFmtId="0" fontId="36" fillId="20" borderId="1" xfId="1" applyFont="1" applyFill="1" applyBorder="1" applyAlignment="1">
      <alignment vertical="center"/>
    </xf>
    <xf numFmtId="0" fontId="36" fillId="0" borderId="1" xfId="1" applyFont="1" applyBorder="1" applyAlignment="1">
      <alignment vertical="center"/>
    </xf>
    <xf numFmtId="0" fontId="5" fillId="13" borderId="1" xfId="1" quotePrefix="1" applyFont="1" applyFill="1" applyBorder="1" applyAlignment="1">
      <alignment horizontal="left"/>
    </xf>
    <xf numFmtId="0" fontId="5" fillId="13" borderId="1" xfId="1" quotePrefix="1" applyFont="1" applyFill="1" applyBorder="1" applyAlignment="1">
      <alignment horizontal="center"/>
    </xf>
    <xf numFmtId="0" fontId="5" fillId="18" borderId="1" xfId="1" quotePrefix="1" applyFont="1" applyFill="1" applyBorder="1" applyAlignment="1">
      <alignment horizontal="left"/>
    </xf>
    <xf numFmtId="10" fontId="11" fillId="0" borderId="1" xfId="1" applyNumberFormat="1" applyFont="1" applyBorder="1" applyAlignment="1">
      <alignment horizontal="center"/>
    </xf>
    <xf numFmtId="0" fontId="20" fillId="13" borderId="1" xfId="2" applyFill="1" applyBorder="1" applyAlignment="1">
      <alignment horizontal="center" vertical="center" wrapText="1"/>
    </xf>
    <xf numFmtId="0" fontId="5" fillId="19" borderId="0" xfId="1" quotePrefix="1" applyFont="1" applyFill="1" applyAlignment="1">
      <alignment horizontal="left"/>
    </xf>
    <xf numFmtId="0" fontId="40" fillId="0" borderId="1" xfId="1" applyFont="1" applyBorder="1" applyAlignment="1">
      <alignment horizontal="center"/>
    </xf>
    <xf numFmtId="0" fontId="11" fillId="13" borderId="1" xfId="1" applyFont="1" applyFill="1" applyBorder="1" applyAlignment="1">
      <alignment horizontal="left"/>
    </xf>
    <xf numFmtId="0" fontId="11" fillId="13" borderId="1" xfId="1" applyFont="1" applyFill="1" applyBorder="1" applyAlignment="1">
      <alignment vertical="center" wrapText="1"/>
    </xf>
    <xf numFmtId="0" fontId="41" fillId="13" borderId="1" xfId="2" applyFont="1" applyFill="1" applyBorder="1" applyAlignment="1">
      <alignment horizontal="center" vertical="center" wrapText="1"/>
    </xf>
    <xf numFmtId="0" fontId="11" fillId="13" borderId="1" xfId="1" applyFont="1" applyFill="1" applyBorder="1" applyAlignment="1">
      <alignment horizontal="center"/>
    </xf>
    <xf numFmtId="1" fontId="11" fillId="13" borderId="1" xfId="1" applyNumberFormat="1" applyFont="1" applyFill="1" applyBorder="1" applyAlignment="1">
      <alignment horizontal="center"/>
    </xf>
    <xf numFmtId="164" fontId="11" fillId="13" borderId="1" xfId="1" applyNumberFormat="1" applyFont="1" applyFill="1" applyBorder="1" applyAlignment="1">
      <alignment horizontal="center"/>
    </xf>
    <xf numFmtId="0" fontId="11" fillId="18" borderId="1" xfId="1" applyFont="1" applyFill="1" applyBorder="1" applyAlignment="1">
      <alignment horizontal="left"/>
    </xf>
    <xf numFmtId="0" fontId="40" fillId="21" borderId="1" xfId="1" applyFont="1" applyFill="1" applyBorder="1" applyAlignment="1">
      <alignment horizontal="center"/>
    </xf>
    <xf numFmtId="0" fontId="42" fillId="0" borderId="1" xfId="0" applyFont="1" applyBorder="1"/>
    <xf numFmtId="0" fontId="43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10" fillId="0" borderId="0" xfId="0" applyFont="1"/>
    <xf numFmtId="0" fontId="36" fillId="22" borderId="1" xfId="1" applyFont="1" applyFill="1" applyBorder="1"/>
    <xf numFmtId="10" fontId="10" fillId="0" borderId="1" xfId="0" applyNumberFormat="1" applyFont="1" applyBorder="1" applyAlignment="1">
      <alignment horizontal="center"/>
    </xf>
    <xf numFmtId="0" fontId="36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9" fontId="11" fillId="0" borderId="1" xfId="1" applyNumberFormat="1" applyFont="1" applyBorder="1" applyAlignment="1">
      <alignment horizontal="center" vertical="center"/>
    </xf>
    <xf numFmtId="0" fontId="11" fillId="19" borderId="0" xfId="1" applyFont="1" applyFill="1" applyAlignment="1">
      <alignment horizontal="left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22" fillId="23" borderId="1" xfId="2" applyFont="1" applyFill="1" applyBorder="1" applyAlignment="1">
      <alignment horizontal="center" vertical="center"/>
    </xf>
    <xf numFmtId="0" fontId="22" fillId="23" borderId="1" xfId="2" applyFont="1" applyFill="1" applyBorder="1" applyAlignment="1">
      <alignment horizontal="center"/>
    </xf>
    <xf numFmtId="0" fontId="23" fillId="23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 vertical="center" wrapText="1" readingOrder="1"/>
    </xf>
    <xf numFmtId="0" fontId="25" fillId="20" borderId="1" xfId="0" applyFont="1" applyFill="1" applyBorder="1" applyAlignment="1">
      <alignment horizontal="center" vertical="center" wrapText="1" readingOrder="1"/>
    </xf>
    <xf numFmtId="0" fontId="21" fillId="25" borderId="5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 wrapText="1" readingOrder="1"/>
    </xf>
    <xf numFmtId="0" fontId="21" fillId="2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 wrapText="1" readingOrder="1"/>
    </xf>
    <xf numFmtId="0" fontId="27" fillId="0" borderId="0" xfId="0" applyFont="1" applyAlignment="1">
      <alignment horizontal="left"/>
    </xf>
    <xf numFmtId="0" fontId="20" fillId="0" borderId="1" xfId="2" applyFill="1" applyBorder="1" applyAlignment="1">
      <alignment horizontal="center"/>
    </xf>
    <xf numFmtId="0" fontId="21" fillId="25" borderId="4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 vertical="center" wrapText="1" readingOrder="1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 vertical="center" readingOrder="1"/>
    </xf>
    <xf numFmtId="0" fontId="27" fillId="0" borderId="1" xfId="0" applyFont="1" applyBorder="1" applyAlignment="1">
      <alignment horizontal="center"/>
    </xf>
    <xf numFmtId="0" fontId="16" fillId="20" borderId="1" xfId="0" applyFont="1" applyFill="1" applyBorder="1" applyAlignment="1">
      <alignment horizontal="center" vertical="center" wrapText="1" readingOrder="1"/>
    </xf>
    <xf numFmtId="0" fontId="45" fillId="0" borderId="0" xfId="0" applyFont="1" applyAlignment="1">
      <alignment horizontal="center"/>
    </xf>
    <xf numFmtId="0" fontId="20" fillId="0" borderId="1" xfId="2" applyBorder="1" applyAlignment="1">
      <alignment horizontal="center"/>
    </xf>
    <xf numFmtId="0" fontId="23" fillId="20" borderId="1" xfId="0" applyFont="1" applyFill="1" applyBorder="1" applyAlignment="1">
      <alignment horizontal="center"/>
    </xf>
    <xf numFmtId="0" fontId="24" fillId="26" borderId="1" xfId="0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/>
    </xf>
    <xf numFmtId="0" fontId="21" fillId="26" borderId="1" xfId="0" applyFont="1" applyFill="1" applyBorder="1" applyAlignment="1">
      <alignment horizontal="center" vertical="center" wrapText="1" readingOrder="1"/>
    </xf>
    <xf numFmtId="0" fontId="44" fillId="26" borderId="0" xfId="0" applyFont="1" applyFill="1"/>
    <xf numFmtId="0" fontId="46" fillId="0" borderId="0" xfId="0" applyFont="1" applyAlignment="1">
      <alignment horizontal="center"/>
    </xf>
    <xf numFmtId="0" fontId="21" fillId="8" borderId="2" xfId="0" applyFont="1" applyFill="1" applyBorder="1" applyAlignment="1">
      <alignment horizontal="center"/>
    </xf>
    <xf numFmtId="0" fontId="21" fillId="24" borderId="3" xfId="0" applyFont="1" applyFill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21" fillId="25" borderId="3" xfId="0" applyFont="1" applyFill="1" applyBorder="1" applyAlignment="1">
      <alignment horizontal="center"/>
    </xf>
    <xf numFmtId="0" fontId="21" fillId="25" borderId="4" xfId="0" applyFont="1" applyFill="1" applyBorder="1" applyAlignment="1">
      <alignment horizontal="center"/>
    </xf>
    <xf numFmtId="0" fontId="21" fillId="25" borderId="6" xfId="0" applyFont="1" applyFill="1" applyBorder="1" applyAlignment="1">
      <alignment horizontal="center"/>
    </xf>
    <xf numFmtId="0" fontId="21" fillId="8" borderId="4" xfId="0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5558BDE8-B921-4F4E-9DE4-D394D72A879C}"/>
  </cellStyles>
  <dxfs count="12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cruydthoeck.nl/winkel/crambe-maritima/p1230" TargetMode="External"/><Relationship Id="rId1" Type="http://schemas.openxmlformats.org/officeDocument/2006/relationships/hyperlink" Target="https://www.bolster.nl/lepelblad-cochlearia-officinalis/p11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DQ311988.1" TargetMode="External"/><Relationship Id="rId21" Type="http://schemas.openxmlformats.org/officeDocument/2006/relationships/hyperlink" Target="https://www.ncbi.nlm.nih.gov/nuccore/AF531558" TargetMode="External"/><Relationship Id="rId42" Type="http://schemas.openxmlformats.org/officeDocument/2006/relationships/hyperlink" Target="https://www.ncbi.nlm.nih.gov/nuccore/MK925510.1" TargetMode="External"/><Relationship Id="rId47" Type="http://schemas.openxmlformats.org/officeDocument/2006/relationships/hyperlink" Target="https://www.ncbi.nlm.nih.gov/nuccore/JN891540.1" TargetMode="External"/><Relationship Id="rId63" Type="http://schemas.openxmlformats.org/officeDocument/2006/relationships/hyperlink" Target="https://www.ncbi.nlm.nih.gov/nuccore/NC_034367.1" TargetMode="External"/><Relationship Id="rId68" Type="http://schemas.openxmlformats.org/officeDocument/2006/relationships/hyperlink" Target="https://www.ncbi.nlm.nih.gov/nuccore/HQ896616" TargetMode="External"/><Relationship Id="rId84" Type="http://schemas.openxmlformats.org/officeDocument/2006/relationships/hyperlink" Target="https://www.ncbi.nlm.nih.gov/nuccore/KM892720.1" TargetMode="External"/><Relationship Id="rId89" Type="http://schemas.openxmlformats.org/officeDocument/2006/relationships/hyperlink" Target="https://www.ncbi.nlm.nih.gov/nuccore/JN893672.1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JN895761" TargetMode="External"/><Relationship Id="rId92" Type="http://schemas.openxmlformats.org/officeDocument/2006/relationships/hyperlink" Target="https://www.ncbi.nlm.nih.gov/nuccore/MW174821.1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KU182535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Q858260.1" TargetMode="External"/><Relationship Id="rId32" Type="http://schemas.openxmlformats.org/officeDocument/2006/relationships/hyperlink" Target="https://www.ncbi.nlm.nih.gov/nuccore/DQ314157.1" TargetMode="External"/><Relationship Id="rId37" Type="http://schemas.openxmlformats.org/officeDocument/2006/relationships/hyperlink" Target="https://www.ncbi.nlm.nih.gov/nuccore/JN894751" TargetMode="External"/><Relationship Id="rId40" Type="http://schemas.openxmlformats.org/officeDocument/2006/relationships/hyperlink" Target="https://www.ncbi.nlm.nih.gov/nuccore/JN891539.1" TargetMode="External"/><Relationship Id="rId45" Type="http://schemas.openxmlformats.org/officeDocument/2006/relationships/hyperlink" Target="https://www.ncbi.nlm.nih.gov/nuccore/JN893428.1" TargetMode="External"/><Relationship Id="rId53" Type="http://schemas.openxmlformats.org/officeDocument/2006/relationships/hyperlink" Target="https://www.ncbi.nlm.nih.gov/nuccore/MG249045.1" TargetMode="External"/><Relationship Id="rId58" Type="http://schemas.openxmlformats.org/officeDocument/2006/relationships/hyperlink" Target="https://www.ncbi.nlm.nih.gov/nuccore/HQ593449" TargetMode="External"/><Relationship Id="rId66" Type="http://schemas.openxmlformats.org/officeDocument/2006/relationships/hyperlink" Target="https://www.ncbi.nlm.nih.gov/nuccore/JF954308" TargetMode="External"/><Relationship Id="rId74" Type="http://schemas.openxmlformats.org/officeDocument/2006/relationships/hyperlink" Target="https://www.ncbi.nlm.nih.gov/nuccore/MN204794.1" TargetMode="External"/><Relationship Id="rId79" Type="http://schemas.openxmlformats.org/officeDocument/2006/relationships/hyperlink" Target="https://www.ncbi.nlm.nih.gov/nuccore/345424693" TargetMode="External"/><Relationship Id="rId87" Type="http://schemas.openxmlformats.org/officeDocument/2006/relationships/hyperlink" Target="https://www.ncbi.nlm.nih.gov/nuccore/NC_049671.1?from=2036&amp;to=3616&amp;report=fasta&amp;strand=2" TargetMode="External"/><Relationship Id="rId102" Type="http://schemas.openxmlformats.org/officeDocument/2006/relationships/hyperlink" Target="https://www.ncbi.nlm.nih.gov/nuccore/Z00044.2?from=57418&amp;to=59174&amp;report=fasta" TargetMode="External"/><Relationship Id="rId5" Type="http://schemas.openxmlformats.org/officeDocument/2006/relationships/hyperlink" Target="https://www.ncbi.nlm.nih.gov/nuccore/EF514632" TargetMode="External"/><Relationship Id="rId61" Type="http://schemas.openxmlformats.org/officeDocument/2006/relationships/hyperlink" Target="https://www.ncbi.nlm.nih.gov/nuccore/NC_034367.1" TargetMode="External"/><Relationship Id="rId82" Type="http://schemas.openxmlformats.org/officeDocument/2006/relationships/hyperlink" Target="https://www.ncbi.nlm.nih.gov/nuccore/MK925332.1" TargetMode="External"/><Relationship Id="rId90" Type="http://schemas.openxmlformats.org/officeDocument/2006/relationships/hyperlink" Target="https://www.ncbi.nlm.nih.gov/nuccore/JN893801.1" TargetMode="External"/><Relationship Id="rId95" Type="http://schemas.openxmlformats.org/officeDocument/2006/relationships/hyperlink" Target="https://www.ncbi.nlm.nih.gov/nuccore/NC_003119.8?from=117623&amp;to=119050&amp;report=fasta" TargetMode="External"/><Relationship Id="rId19" Type="http://schemas.openxmlformats.org/officeDocument/2006/relationships/hyperlink" Target="https://www.ncbi.nlm.nih.gov/nuccore/AF128106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AF303399.1" TargetMode="External"/><Relationship Id="rId30" Type="http://schemas.openxmlformats.org/officeDocument/2006/relationships/hyperlink" Target="https://www.ncbi.nlm.nih.gov/nuccore/AJ492409.1" TargetMode="External"/><Relationship Id="rId35" Type="http://schemas.openxmlformats.org/officeDocument/2006/relationships/hyperlink" Target="https://www.ncbi.nlm.nih.gov/nuccore/MK925660.1" TargetMode="External"/><Relationship Id="rId43" Type="http://schemas.openxmlformats.org/officeDocument/2006/relationships/hyperlink" Target="https://www.ncbi.nlm.nih.gov/nuccore/KX678696" TargetMode="External"/><Relationship Id="rId48" Type="http://schemas.openxmlformats.org/officeDocument/2006/relationships/hyperlink" Target="https://www.ncbi.nlm.nih.gov/nuccore/JN894595.1" TargetMode="External"/><Relationship Id="rId56" Type="http://schemas.openxmlformats.org/officeDocument/2006/relationships/hyperlink" Target="https://www.ncbi.nlm.nih.gov/nuccore/JN000307" TargetMode="External"/><Relationship Id="rId64" Type="http://schemas.openxmlformats.org/officeDocument/2006/relationships/hyperlink" Target="https://www.ncbi.nlm.nih.gov/nuccore/MW605071.1" TargetMode="External"/><Relationship Id="rId69" Type="http://schemas.openxmlformats.org/officeDocument/2006/relationships/hyperlink" Target="https://www.ncbi.nlm.nih.gov/nuccore/KC482526" TargetMode="External"/><Relationship Id="rId77" Type="http://schemas.openxmlformats.org/officeDocument/2006/relationships/hyperlink" Target="https://www.ncbi.nlm.nih.gov/nuccore/1214618081" TargetMode="External"/><Relationship Id="rId100" Type="http://schemas.openxmlformats.org/officeDocument/2006/relationships/hyperlink" Target="https://www.ncbi.nlm.nih.gov/nuccore/NC_001666.2?from=1674&amp;to=3215&amp;report=fasta&amp;strand=2" TargetMode="External"/><Relationship Id="rId105" Type="http://schemas.openxmlformats.org/officeDocument/2006/relationships/vmlDrawing" Target="../drawings/vmlDrawing2.vm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G191365" TargetMode="External"/><Relationship Id="rId72" Type="http://schemas.openxmlformats.org/officeDocument/2006/relationships/hyperlink" Target="https://www.ncbi.nlm.nih.gov/nuccore/JN893155" TargetMode="External"/><Relationship Id="rId80" Type="http://schemas.openxmlformats.org/officeDocument/2006/relationships/hyperlink" Target="https://www.ncbi.nlm.nih.gov/nuccore/MK924626.1" TargetMode="External"/><Relationship Id="rId85" Type="http://schemas.openxmlformats.org/officeDocument/2006/relationships/hyperlink" Target="https://www.ncbi.nlm.nih.gov/nuccore/KM892729.1" TargetMode="External"/><Relationship Id="rId93" Type="http://schemas.openxmlformats.org/officeDocument/2006/relationships/hyperlink" Target="https://www.ncbi.nlm.nih.gov/nuccore/MW188520.1" TargetMode="External"/><Relationship Id="rId98" Type="http://schemas.openxmlformats.org/officeDocument/2006/relationships/hyperlink" Target="https://www.ncbi.nlm.nih.gov/nuccore/NC_011032.1?from=54293&amp;to=55723&amp;report=fasta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pubmed.ncbi.nlm.nih.gov/23442684/" TargetMode="External"/><Relationship Id="rId33" Type="http://schemas.openxmlformats.org/officeDocument/2006/relationships/hyperlink" Target="https://pubmed.ncbi.nlm.nih.gov/16483799/" TargetMode="External"/><Relationship Id="rId38" Type="http://schemas.openxmlformats.org/officeDocument/2006/relationships/hyperlink" Target="https://www.ncbi.nlm.nih.gov/nuccore/MG247209.1" TargetMode="External"/><Relationship Id="rId46" Type="http://schemas.openxmlformats.org/officeDocument/2006/relationships/hyperlink" Target="https://www.ncbi.nlm.nih.gov/nuccore/JN895965.1?report=fasta" TargetMode="External"/><Relationship Id="rId59" Type="http://schemas.openxmlformats.org/officeDocument/2006/relationships/hyperlink" Target="https://www.ncbi.nlm.nih.gov/nuccore/HQ590280" TargetMode="External"/><Relationship Id="rId67" Type="http://schemas.openxmlformats.org/officeDocument/2006/relationships/hyperlink" Target="https://www.ncbi.nlm.nih.gov/nuccore/JF942219" TargetMode="External"/><Relationship Id="rId103" Type="http://schemas.openxmlformats.org/officeDocument/2006/relationships/hyperlink" Target="https://www.ncbi.nlm.nih.gov/nuccore/HE967405.1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JN894594.1" TargetMode="External"/><Relationship Id="rId54" Type="http://schemas.openxmlformats.org/officeDocument/2006/relationships/hyperlink" Target="https://www.ncbi.nlm.nih.gov/nuccore/MK925875.1" TargetMode="External"/><Relationship Id="rId62" Type="http://schemas.openxmlformats.org/officeDocument/2006/relationships/hyperlink" Target="https://www.ncbi.nlm.nih.gov/nuccore/NC_034367.1" TargetMode="External"/><Relationship Id="rId70" Type="http://schemas.openxmlformats.org/officeDocument/2006/relationships/hyperlink" Target="https://www.ncbi.nlm.nih.gov/nuccore/KC474537" TargetMode="External"/><Relationship Id="rId75" Type="http://schemas.openxmlformats.org/officeDocument/2006/relationships/hyperlink" Target="https://www.ncbi.nlm.nih.gov/nuccore/MN273630.1" TargetMode="External"/><Relationship Id="rId83" Type="http://schemas.openxmlformats.org/officeDocument/2006/relationships/hyperlink" Target="https://www.ncbi.nlm.nih.gov/nuccore/MK926058.1" TargetMode="External"/><Relationship Id="rId88" Type="http://schemas.openxmlformats.org/officeDocument/2006/relationships/hyperlink" Target="https://www.ncbi.nlm.nih.gov/nuccore/JN896230.1" TargetMode="External"/><Relationship Id="rId91" Type="http://schemas.openxmlformats.org/officeDocument/2006/relationships/hyperlink" Target="https://www.ncbi.nlm.nih.gov/nuccore/JN896227.1" TargetMode="External"/><Relationship Id="rId96" Type="http://schemas.openxmlformats.org/officeDocument/2006/relationships/hyperlink" Target="https://www.ncbi.nlm.nih.gov/nuccore/MG248509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pubmed.ncbi.nlm.nih.gov/17425784/" TargetMode="External"/><Relationship Id="rId28" Type="http://schemas.openxmlformats.org/officeDocument/2006/relationships/hyperlink" Target="https://www-jstor-org.ezproxy.library.wur.nl/stable/3093868?seq=8" TargetMode="External"/><Relationship Id="rId36" Type="http://schemas.openxmlformats.org/officeDocument/2006/relationships/hyperlink" Target="https://www.ncbi.nlm.nih.gov/nuccore/JN891749" TargetMode="External"/><Relationship Id="rId49" Type="http://schemas.openxmlformats.org/officeDocument/2006/relationships/hyperlink" Target="https://www.ncbi.nlm.nih.gov/nuccore/GQ184375.1" TargetMode="External"/><Relationship Id="rId57" Type="http://schemas.openxmlformats.org/officeDocument/2006/relationships/hyperlink" Target="https://www.ncbi.nlm.nih.gov/nuccore/AB040014" TargetMode="External"/><Relationship Id="rId106" Type="http://schemas.openxmlformats.org/officeDocument/2006/relationships/comments" Target="../comments2.xml"/><Relationship Id="rId10" Type="http://schemas.openxmlformats.org/officeDocument/2006/relationships/hyperlink" Target="https://www.ncbi.nlm.nih.gov/nuccore/FN599860" TargetMode="External"/><Relationship Id="rId31" Type="http://schemas.openxmlformats.org/officeDocument/2006/relationships/hyperlink" Target="https://pubmed.ncbi.nlm.nih.gov/12824072/" TargetMode="External"/><Relationship Id="rId44" Type="http://schemas.openxmlformats.org/officeDocument/2006/relationships/hyperlink" Target="https://www.ncbi.nlm.nih.gov/nuccore/KX677289.1" TargetMode="External"/><Relationship Id="rId52" Type="http://schemas.openxmlformats.org/officeDocument/2006/relationships/hyperlink" Target="https://www.ncbi.nlm.nih.gov/nuccore/MG191382" TargetMode="External"/><Relationship Id="rId60" Type="http://schemas.openxmlformats.org/officeDocument/2006/relationships/hyperlink" Target="https://www.ncbi.nlm.nih.gov/nuccore/AY254539" TargetMode="External"/><Relationship Id="rId65" Type="http://schemas.openxmlformats.org/officeDocument/2006/relationships/hyperlink" Target="https://www.ncbi.nlm.nih.gov/nuccore/JF976776.1" TargetMode="External"/><Relationship Id="rId73" Type="http://schemas.openxmlformats.org/officeDocument/2006/relationships/hyperlink" Target="https://www.ncbi.nlm.nih.gov/nuccore/JN894958" TargetMode="External"/><Relationship Id="rId78" Type="http://schemas.openxmlformats.org/officeDocument/2006/relationships/hyperlink" Target="https://www.ncbi.nlm.nih.gov/nuccore/KF997351.1" TargetMode="External"/><Relationship Id="rId81" Type="http://schemas.openxmlformats.org/officeDocument/2006/relationships/hyperlink" Target="https://www.ncbi.nlm.nih.gov/nuccore/MK926054.1" TargetMode="External"/><Relationship Id="rId86" Type="http://schemas.openxmlformats.org/officeDocument/2006/relationships/hyperlink" Target="https://www.ncbi.nlm.nih.gov/nuccore/NC_049671.1?from=54692&amp;to=56131&amp;report=fasta" TargetMode="External"/><Relationship Id="rId94" Type="http://schemas.openxmlformats.org/officeDocument/2006/relationships/hyperlink" Target="https://www.ncbi.nlm.nih.gov/nuccore/NC_003119.8?from=120387&amp;to=121907&amp;report=fasta" TargetMode="External"/><Relationship Id="rId99" Type="http://schemas.openxmlformats.org/officeDocument/2006/relationships/hyperlink" Target="https://www.ncbi.nlm.nih.gov/nuccore/NC_011032.1?from=54293&amp;to=55723&amp;report=fasta" TargetMode="External"/><Relationship Id="rId101" Type="http://schemas.openxmlformats.org/officeDocument/2006/relationships/hyperlink" Target="https://www.ncbi.nlm.nih.gov/nuccore/NC_001666.2?from=56874&amp;to=58304&amp;report=fasta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39" Type="http://schemas.openxmlformats.org/officeDocument/2006/relationships/hyperlink" Target="https://www.ncbi.nlm.nih.gov/nuccore/MK926052.1" TargetMode="External"/><Relationship Id="rId34" Type="http://schemas.openxmlformats.org/officeDocument/2006/relationships/hyperlink" Target="https://pubmed.ncbi.nlm.nih.gov/21642180/" TargetMode="External"/><Relationship Id="rId50" Type="http://schemas.openxmlformats.org/officeDocument/2006/relationships/hyperlink" Target="https://www.ncbi.nlm.nih.gov/nuccore/KX783642.1" TargetMode="External"/><Relationship Id="rId55" Type="http://schemas.openxmlformats.org/officeDocument/2006/relationships/hyperlink" Target="https://www.ncbi.nlm.nih.gov/nuccore/EF208123" TargetMode="External"/><Relationship Id="rId76" Type="http://schemas.openxmlformats.org/officeDocument/2006/relationships/hyperlink" Target="https://www.ncbi.nlm.nih.gov/nuccore/1214618081" TargetMode="External"/><Relationship Id="rId97" Type="http://schemas.openxmlformats.org/officeDocument/2006/relationships/hyperlink" Target="https://www.ncbi.nlm.nih.gov/nuccore/AB935092.1" TargetMode="External"/><Relationship Id="rId10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DQ311988.1" TargetMode="External"/><Relationship Id="rId21" Type="http://schemas.openxmlformats.org/officeDocument/2006/relationships/hyperlink" Target="https://www.ncbi.nlm.nih.gov/nuccore/AF531558" TargetMode="External"/><Relationship Id="rId42" Type="http://schemas.openxmlformats.org/officeDocument/2006/relationships/hyperlink" Target="https://www.ncbi.nlm.nih.gov/nuccore/MK925510.1" TargetMode="External"/><Relationship Id="rId47" Type="http://schemas.openxmlformats.org/officeDocument/2006/relationships/hyperlink" Target="https://www.ncbi.nlm.nih.gov/nuccore/JN891540.1" TargetMode="External"/><Relationship Id="rId63" Type="http://schemas.openxmlformats.org/officeDocument/2006/relationships/hyperlink" Target="https://www.ncbi.nlm.nih.gov/nuccore/NC_034367.1" TargetMode="External"/><Relationship Id="rId68" Type="http://schemas.openxmlformats.org/officeDocument/2006/relationships/hyperlink" Target="https://www.ncbi.nlm.nih.gov/nuccore/HQ896616" TargetMode="External"/><Relationship Id="rId84" Type="http://schemas.openxmlformats.org/officeDocument/2006/relationships/hyperlink" Target="https://www.ncbi.nlm.nih.gov/nuccore/KM892720.1" TargetMode="External"/><Relationship Id="rId89" Type="http://schemas.openxmlformats.org/officeDocument/2006/relationships/hyperlink" Target="https://www.ncbi.nlm.nih.gov/nuccore/JN893672.1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JN895761" TargetMode="External"/><Relationship Id="rId92" Type="http://schemas.openxmlformats.org/officeDocument/2006/relationships/hyperlink" Target="https://www.ncbi.nlm.nih.gov/nuccore/MW174821.1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KU182535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Q858260.1" TargetMode="External"/><Relationship Id="rId32" Type="http://schemas.openxmlformats.org/officeDocument/2006/relationships/hyperlink" Target="https://www.ncbi.nlm.nih.gov/nuccore/DQ314157.1" TargetMode="External"/><Relationship Id="rId37" Type="http://schemas.openxmlformats.org/officeDocument/2006/relationships/hyperlink" Target="https://www.ncbi.nlm.nih.gov/nuccore/JN894751" TargetMode="External"/><Relationship Id="rId40" Type="http://schemas.openxmlformats.org/officeDocument/2006/relationships/hyperlink" Target="https://www.ncbi.nlm.nih.gov/nuccore/JN891539.1" TargetMode="External"/><Relationship Id="rId45" Type="http://schemas.openxmlformats.org/officeDocument/2006/relationships/hyperlink" Target="https://www.ncbi.nlm.nih.gov/nuccore/JN893428.1" TargetMode="External"/><Relationship Id="rId53" Type="http://schemas.openxmlformats.org/officeDocument/2006/relationships/hyperlink" Target="https://www.ncbi.nlm.nih.gov/nuccore/MG249045.1" TargetMode="External"/><Relationship Id="rId58" Type="http://schemas.openxmlformats.org/officeDocument/2006/relationships/hyperlink" Target="https://www.ncbi.nlm.nih.gov/nuccore/HQ593449" TargetMode="External"/><Relationship Id="rId66" Type="http://schemas.openxmlformats.org/officeDocument/2006/relationships/hyperlink" Target="https://www.ncbi.nlm.nih.gov/nuccore/JF954308" TargetMode="External"/><Relationship Id="rId74" Type="http://schemas.openxmlformats.org/officeDocument/2006/relationships/hyperlink" Target="https://www.ncbi.nlm.nih.gov/nuccore/MN204794.1" TargetMode="External"/><Relationship Id="rId79" Type="http://schemas.openxmlformats.org/officeDocument/2006/relationships/hyperlink" Target="https://www.ncbi.nlm.nih.gov/nuccore/345424693" TargetMode="External"/><Relationship Id="rId87" Type="http://schemas.openxmlformats.org/officeDocument/2006/relationships/hyperlink" Target="https://www.ncbi.nlm.nih.gov/nuccore/NC_049671.1?from=2036&amp;to=3616&amp;report=fasta&amp;strand=2" TargetMode="External"/><Relationship Id="rId102" Type="http://schemas.openxmlformats.org/officeDocument/2006/relationships/hyperlink" Target="https://www.ncbi.nlm.nih.gov/nuccore/Z00044.2?from=57418&amp;to=59174&amp;report=fasta" TargetMode="External"/><Relationship Id="rId5" Type="http://schemas.openxmlformats.org/officeDocument/2006/relationships/hyperlink" Target="https://www.ncbi.nlm.nih.gov/nuccore/EF514632" TargetMode="External"/><Relationship Id="rId61" Type="http://schemas.openxmlformats.org/officeDocument/2006/relationships/hyperlink" Target="https://www.ncbi.nlm.nih.gov/nuccore/NC_034367.1" TargetMode="External"/><Relationship Id="rId82" Type="http://schemas.openxmlformats.org/officeDocument/2006/relationships/hyperlink" Target="https://www.ncbi.nlm.nih.gov/nuccore/MK925332.1" TargetMode="External"/><Relationship Id="rId90" Type="http://schemas.openxmlformats.org/officeDocument/2006/relationships/hyperlink" Target="https://www.ncbi.nlm.nih.gov/nuccore/JN893801.1" TargetMode="External"/><Relationship Id="rId95" Type="http://schemas.openxmlformats.org/officeDocument/2006/relationships/hyperlink" Target="https://www.ncbi.nlm.nih.gov/nuccore/NC_003119.8?from=117623&amp;to=119050&amp;report=fasta" TargetMode="External"/><Relationship Id="rId19" Type="http://schemas.openxmlformats.org/officeDocument/2006/relationships/hyperlink" Target="https://www.ncbi.nlm.nih.gov/nuccore/AF128106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AF303399.1" TargetMode="External"/><Relationship Id="rId30" Type="http://schemas.openxmlformats.org/officeDocument/2006/relationships/hyperlink" Target="https://www.ncbi.nlm.nih.gov/nuccore/AJ492409.1" TargetMode="External"/><Relationship Id="rId35" Type="http://schemas.openxmlformats.org/officeDocument/2006/relationships/hyperlink" Target="https://www.ncbi.nlm.nih.gov/nuccore/MK925660.1" TargetMode="External"/><Relationship Id="rId43" Type="http://schemas.openxmlformats.org/officeDocument/2006/relationships/hyperlink" Target="https://www.ncbi.nlm.nih.gov/nuccore/KX678696" TargetMode="External"/><Relationship Id="rId48" Type="http://schemas.openxmlformats.org/officeDocument/2006/relationships/hyperlink" Target="https://www.ncbi.nlm.nih.gov/nuccore/JN894595.1" TargetMode="External"/><Relationship Id="rId56" Type="http://schemas.openxmlformats.org/officeDocument/2006/relationships/hyperlink" Target="https://www.ncbi.nlm.nih.gov/nuccore/JN000307" TargetMode="External"/><Relationship Id="rId64" Type="http://schemas.openxmlformats.org/officeDocument/2006/relationships/hyperlink" Target="https://www.ncbi.nlm.nih.gov/nuccore/MW605071.1" TargetMode="External"/><Relationship Id="rId69" Type="http://schemas.openxmlformats.org/officeDocument/2006/relationships/hyperlink" Target="https://www.ncbi.nlm.nih.gov/nuccore/KC482526" TargetMode="External"/><Relationship Id="rId77" Type="http://schemas.openxmlformats.org/officeDocument/2006/relationships/hyperlink" Target="https://www.ncbi.nlm.nih.gov/nuccore/1214618081" TargetMode="External"/><Relationship Id="rId100" Type="http://schemas.openxmlformats.org/officeDocument/2006/relationships/hyperlink" Target="https://www.ncbi.nlm.nih.gov/nuccore/NC_001666.2?from=1674&amp;to=3215&amp;report=fasta&amp;strand=2" TargetMode="External"/><Relationship Id="rId105" Type="http://schemas.openxmlformats.org/officeDocument/2006/relationships/vmlDrawing" Target="../drawings/vmlDrawing3.vm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G191365" TargetMode="External"/><Relationship Id="rId72" Type="http://schemas.openxmlformats.org/officeDocument/2006/relationships/hyperlink" Target="https://www.ncbi.nlm.nih.gov/nuccore/JN893155" TargetMode="External"/><Relationship Id="rId80" Type="http://schemas.openxmlformats.org/officeDocument/2006/relationships/hyperlink" Target="https://www.ncbi.nlm.nih.gov/nuccore/MK924626.1" TargetMode="External"/><Relationship Id="rId85" Type="http://schemas.openxmlformats.org/officeDocument/2006/relationships/hyperlink" Target="https://www.ncbi.nlm.nih.gov/nuccore/KM892729.1" TargetMode="External"/><Relationship Id="rId93" Type="http://schemas.openxmlformats.org/officeDocument/2006/relationships/hyperlink" Target="https://www.ncbi.nlm.nih.gov/nuccore/MW188520.1" TargetMode="External"/><Relationship Id="rId98" Type="http://schemas.openxmlformats.org/officeDocument/2006/relationships/hyperlink" Target="https://www.ncbi.nlm.nih.gov/nuccore/NC_011032.1?from=54293&amp;to=55723&amp;report=fasta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pubmed.ncbi.nlm.nih.gov/23442684/" TargetMode="External"/><Relationship Id="rId33" Type="http://schemas.openxmlformats.org/officeDocument/2006/relationships/hyperlink" Target="https://pubmed.ncbi.nlm.nih.gov/16483799/" TargetMode="External"/><Relationship Id="rId38" Type="http://schemas.openxmlformats.org/officeDocument/2006/relationships/hyperlink" Target="https://www.ncbi.nlm.nih.gov/nuccore/MG247209.1" TargetMode="External"/><Relationship Id="rId46" Type="http://schemas.openxmlformats.org/officeDocument/2006/relationships/hyperlink" Target="https://www.ncbi.nlm.nih.gov/nuccore/JN895965.1?report=fasta" TargetMode="External"/><Relationship Id="rId59" Type="http://schemas.openxmlformats.org/officeDocument/2006/relationships/hyperlink" Target="https://www.ncbi.nlm.nih.gov/nuccore/HQ590280" TargetMode="External"/><Relationship Id="rId67" Type="http://schemas.openxmlformats.org/officeDocument/2006/relationships/hyperlink" Target="https://www.ncbi.nlm.nih.gov/nuccore/JF942219" TargetMode="External"/><Relationship Id="rId103" Type="http://schemas.openxmlformats.org/officeDocument/2006/relationships/hyperlink" Target="https://www.ncbi.nlm.nih.gov/nuccore/HE967405.1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JN894594.1" TargetMode="External"/><Relationship Id="rId54" Type="http://schemas.openxmlformats.org/officeDocument/2006/relationships/hyperlink" Target="https://www.ncbi.nlm.nih.gov/nuccore/MK925875.1" TargetMode="External"/><Relationship Id="rId62" Type="http://schemas.openxmlformats.org/officeDocument/2006/relationships/hyperlink" Target="https://www.ncbi.nlm.nih.gov/nuccore/NC_034367.1" TargetMode="External"/><Relationship Id="rId70" Type="http://schemas.openxmlformats.org/officeDocument/2006/relationships/hyperlink" Target="https://www.ncbi.nlm.nih.gov/nuccore/KC474537" TargetMode="External"/><Relationship Id="rId75" Type="http://schemas.openxmlformats.org/officeDocument/2006/relationships/hyperlink" Target="https://www.ncbi.nlm.nih.gov/nuccore/MN273630.1" TargetMode="External"/><Relationship Id="rId83" Type="http://schemas.openxmlformats.org/officeDocument/2006/relationships/hyperlink" Target="https://www.ncbi.nlm.nih.gov/nuccore/MK926058.1" TargetMode="External"/><Relationship Id="rId88" Type="http://schemas.openxmlformats.org/officeDocument/2006/relationships/hyperlink" Target="https://www.ncbi.nlm.nih.gov/nuccore/JN896230.1" TargetMode="External"/><Relationship Id="rId91" Type="http://schemas.openxmlformats.org/officeDocument/2006/relationships/hyperlink" Target="https://www.ncbi.nlm.nih.gov/nuccore/JN896227.1" TargetMode="External"/><Relationship Id="rId96" Type="http://schemas.openxmlformats.org/officeDocument/2006/relationships/hyperlink" Target="https://www.ncbi.nlm.nih.gov/nuccore/MG248509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pubmed.ncbi.nlm.nih.gov/17425784/" TargetMode="External"/><Relationship Id="rId28" Type="http://schemas.openxmlformats.org/officeDocument/2006/relationships/hyperlink" Target="https://www-jstor-org.ezproxy.library.wur.nl/stable/3093868?seq=8" TargetMode="External"/><Relationship Id="rId36" Type="http://schemas.openxmlformats.org/officeDocument/2006/relationships/hyperlink" Target="https://www.ncbi.nlm.nih.gov/nuccore/JN891749" TargetMode="External"/><Relationship Id="rId49" Type="http://schemas.openxmlformats.org/officeDocument/2006/relationships/hyperlink" Target="https://www.ncbi.nlm.nih.gov/nuccore/GQ184375.1" TargetMode="External"/><Relationship Id="rId57" Type="http://schemas.openxmlformats.org/officeDocument/2006/relationships/hyperlink" Target="https://www.ncbi.nlm.nih.gov/nuccore/AB040014" TargetMode="External"/><Relationship Id="rId106" Type="http://schemas.openxmlformats.org/officeDocument/2006/relationships/comments" Target="../comments3.xml"/><Relationship Id="rId10" Type="http://schemas.openxmlformats.org/officeDocument/2006/relationships/hyperlink" Target="https://www.ncbi.nlm.nih.gov/nuccore/FN599860" TargetMode="External"/><Relationship Id="rId31" Type="http://schemas.openxmlformats.org/officeDocument/2006/relationships/hyperlink" Target="https://pubmed.ncbi.nlm.nih.gov/12824072/" TargetMode="External"/><Relationship Id="rId44" Type="http://schemas.openxmlformats.org/officeDocument/2006/relationships/hyperlink" Target="https://www.ncbi.nlm.nih.gov/nuccore/KX677289.1" TargetMode="External"/><Relationship Id="rId52" Type="http://schemas.openxmlformats.org/officeDocument/2006/relationships/hyperlink" Target="https://www.ncbi.nlm.nih.gov/nuccore/MG191382" TargetMode="External"/><Relationship Id="rId60" Type="http://schemas.openxmlformats.org/officeDocument/2006/relationships/hyperlink" Target="https://www.ncbi.nlm.nih.gov/nuccore/AY254539" TargetMode="External"/><Relationship Id="rId65" Type="http://schemas.openxmlformats.org/officeDocument/2006/relationships/hyperlink" Target="https://www.ncbi.nlm.nih.gov/nuccore/JF976776.1" TargetMode="External"/><Relationship Id="rId73" Type="http://schemas.openxmlformats.org/officeDocument/2006/relationships/hyperlink" Target="https://www.ncbi.nlm.nih.gov/nuccore/JN894958" TargetMode="External"/><Relationship Id="rId78" Type="http://schemas.openxmlformats.org/officeDocument/2006/relationships/hyperlink" Target="https://www.ncbi.nlm.nih.gov/nuccore/KF997351.1" TargetMode="External"/><Relationship Id="rId81" Type="http://schemas.openxmlformats.org/officeDocument/2006/relationships/hyperlink" Target="https://www.ncbi.nlm.nih.gov/nuccore/MK926054.1" TargetMode="External"/><Relationship Id="rId86" Type="http://schemas.openxmlformats.org/officeDocument/2006/relationships/hyperlink" Target="https://www.ncbi.nlm.nih.gov/nuccore/NC_049671.1?from=54692&amp;to=56131&amp;report=fasta" TargetMode="External"/><Relationship Id="rId94" Type="http://schemas.openxmlformats.org/officeDocument/2006/relationships/hyperlink" Target="https://www.ncbi.nlm.nih.gov/nuccore/NC_003119.8?from=120387&amp;to=121907&amp;report=fasta" TargetMode="External"/><Relationship Id="rId99" Type="http://schemas.openxmlformats.org/officeDocument/2006/relationships/hyperlink" Target="https://www.ncbi.nlm.nih.gov/nuccore/NC_011032.1?from=54293&amp;to=55723&amp;report=fasta" TargetMode="External"/><Relationship Id="rId101" Type="http://schemas.openxmlformats.org/officeDocument/2006/relationships/hyperlink" Target="https://www.ncbi.nlm.nih.gov/nuccore/NC_001666.2?from=56874&amp;to=58304&amp;report=fasta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39" Type="http://schemas.openxmlformats.org/officeDocument/2006/relationships/hyperlink" Target="https://www.ncbi.nlm.nih.gov/nuccore/MK926052.1" TargetMode="External"/><Relationship Id="rId34" Type="http://schemas.openxmlformats.org/officeDocument/2006/relationships/hyperlink" Target="https://pubmed.ncbi.nlm.nih.gov/21642180/" TargetMode="External"/><Relationship Id="rId50" Type="http://schemas.openxmlformats.org/officeDocument/2006/relationships/hyperlink" Target="https://www.ncbi.nlm.nih.gov/nuccore/KX783642.1" TargetMode="External"/><Relationship Id="rId55" Type="http://schemas.openxmlformats.org/officeDocument/2006/relationships/hyperlink" Target="https://www.ncbi.nlm.nih.gov/nuccore/EF208123" TargetMode="External"/><Relationship Id="rId76" Type="http://schemas.openxmlformats.org/officeDocument/2006/relationships/hyperlink" Target="https://www.ncbi.nlm.nih.gov/nuccore/1214618081" TargetMode="External"/><Relationship Id="rId97" Type="http://schemas.openxmlformats.org/officeDocument/2006/relationships/hyperlink" Target="https://www.ncbi.nlm.nih.gov/nuccore/AB935092.1" TargetMode="External"/><Relationship Id="rId10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26" Type="http://schemas.openxmlformats.org/officeDocument/2006/relationships/hyperlink" Target="https://www.ncbi.nlm.nih.gov/nuccore/JN891749" TargetMode="External"/><Relationship Id="rId39" Type="http://schemas.openxmlformats.org/officeDocument/2006/relationships/hyperlink" Target="https://www.ncbi.nlm.nih.gov/nuccore/JN893155" TargetMode="External"/><Relationship Id="rId21" Type="http://schemas.openxmlformats.org/officeDocument/2006/relationships/hyperlink" Target="https://www.ncbi.nlm.nih.gov/nuccore/AF531558" TargetMode="External"/><Relationship Id="rId34" Type="http://schemas.openxmlformats.org/officeDocument/2006/relationships/hyperlink" Target="https://www.ncbi.nlm.nih.gov/nuccore/MG191382" TargetMode="External"/><Relationship Id="rId42" Type="http://schemas.openxmlformats.org/officeDocument/2006/relationships/hyperlink" Target="https://www.ncbi.nlm.nih.gov/nuccore/1214618081" TargetMode="External"/><Relationship Id="rId47" Type="http://schemas.openxmlformats.org/officeDocument/2006/relationships/hyperlink" Target="https://www.ncbi.nlm.nih.gov/nuccore/NC_049671.1?from=54692&amp;to=56131&amp;report=fasta" TargetMode="External"/><Relationship Id="rId50" Type="http://schemas.openxmlformats.org/officeDocument/2006/relationships/hyperlink" Target="https://www.ncbi.nlm.nih.gov/nuccore/MW174821.1" TargetMode="External"/><Relationship Id="rId55" Type="http://schemas.openxmlformats.org/officeDocument/2006/relationships/hyperlink" Target="https://www.ncbi.nlm.nih.gov/nuccore/KX677289.1" TargetMode="External"/><Relationship Id="rId63" Type="http://schemas.openxmlformats.org/officeDocument/2006/relationships/hyperlink" Target="https://www.ncbi.nlm.nih.gov/nuccore/KC474537" TargetMode="External"/><Relationship Id="rId68" Type="http://schemas.openxmlformats.org/officeDocument/2006/relationships/hyperlink" Target="https://www.ncbi.nlm.nih.gov/nuccore/MK926054.1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NC_049671.1?from=2036&amp;to=3616&amp;report=fasta&amp;strand=2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MK925510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F976776.1" TargetMode="External"/><Relationship Id="rId32" Type="http://schemas.openxmlformats.org/officeDocument/2006/relationships/hyperlink" Target="https://www.ncbi.nlm.nih.gov/nuccore/JN891540.1" TargetMode="External"/><Relationship Id="rId37" Type="http://schemas.openxmlformats.org/officeDocument/2006/relationships/hyperlink" Target="https://www.ncbi.nlm.nih.gov/nuccore/JF942219" TargetMode="External"/><Relationship Id="rId40" Type="http://schemas.openxmlformats.org/officeDocument/2006/relationships/hyperlink" Target="https://www.ncbi.nlm.nih.gov/nuccore/JN894958" TargetMode="External"/><Relationship Id="rId45" Type="http://schemas.openxmlformats.org/officeDocument/2006/relationships/hyperlink" Target="https://www.ncbi.nlm.nih.gov/nuccore/MK925332.1" TargetMode="External"/><Relationship Id="rId53" Type="http://schemas.openxmlformats.org/officeDocument/2006/relationships/hyperlink" Target="https://www.ncbi.nlm.nih.gov/nuccore/MK926052.1" TargetMode="External"/><Relationship Id="rId58" Type="http://schemas.openxmlformats.org/officeDocument/2006/relationships/hyperlink" Target="https://www.ncbi.nlm.nih.gov/nuccore/KX783642.1" TargetMode="External"/><Relationship Id="rId66" Type="http://schemas.openxmlformats.org/officeDocument/2006/relationships/hyperlink" Target="https://www.ncbi.nlm.nih.gov/nuccore/1214618081" TargetMode="External"/><Relationship Id="rId74" Type="http://schemas.openxmlformats.org/officeDocument/2006/relationships/hyperlink" Target="https://www.ncbi.nlm.nih.gov/nuccore/MW188520.1" TargetMode="External"/><Relationship Id="rId5" Type="http://schemas.openxmlformats.org/officeDocument/2006/relationships/hyperlink" Target="https://www.ncbi.nlm.nih.gov/nuccore/EF514632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www.ncbi.nlm.nih.gov/nuccore/MW605071.1" TargetMode="External"/><Relationship Id="rId28" Type="http://schemas.openxmlformats.org/officeDocument/2006/relationships/hyperlink" Target="https://www.ncbi.nlm.nih.gov/nuccore/JN891539.1" TargetMode="External"/><Relationship Id="rId36" Type="http://schemas.openxmlformats.org/officeDocument/2006/relationships/hyperlink" Target="https://www.ncbi.nlm.nih.gov/nuccore/EF208123" TargetMode="External"/><Relationship Id="rId49" Type="http://schemas.openxmlformats.org/officeDocument/2006/relationships/hyperlink" Target="https://www.ncbi.nlm.nih.gov/nuccore/JN893801.1" TargetMode="External"/><Relationship Id="rId57" Type="http://schemas.openxmlformats.org/officeDocument/2006/relationships/hyperlink" Target="https://www.ncbi.nlm.nih.gov/nuccore/JN894595.1" TargetMode="External"/><Relationship Id="rId61" Type="http://schemas.openxmlformats.org/officeDocument/2006/relationships/hyperlink" Target="https://www.ncbi.nlm.nih.gov/nuccore/JN000307" TargetMode="External"/><Relationship Id="rId10" Type="http://schemas.openxmlformats.org/officeDocument/2006/relationships/hyperlink" Target="https://www.ncbi.nlm.nih.gov/nuccore/FN599860" TargetMode="External"/><Relationship Id="rId19" Type="http://schemas.openxmlformats.org/officeDocument/2006/relationships/hyperlink" Target="https://www.ncbi.nlm.nih.gov/nuccore/AF128106" TargetMode="External"/><Relationship Id="rId31" Type="http://schemas.openxmlformats.org/officeDocument/2006/relationships/hyperlink" Target="https://www.ncbi.nlm.nih.gov/nuccore/JN893428.1" TargetMode="External"/><Relationship Id="rId44" Type="http://schemas.openxmlformats.org/officeDocument/2006/relationships/hyperlink" Target="https://www.ncbi.nlm.nih.gov/nuccore/MK924626.1" TargetMode="External"/><Relationship Id="rId52" Type="http://schemas.openxmlformats.org/officeDocument/2006/relationships/hyperlink" Target="https://www.ncbi.nlm.nih.gov/nuccore/JN894751" TargetMode="External"/><Relationship Id="rId60" Type="http://schemas.openxmlformats.org/officeDocument/2006/relationships/hyperlink" Target="https://www.ncbi.nlm.nih.gov/nuccore/MK925875.1" TargetMode="External"/><Relationship Id="rId65" Type="http://schemas.openxmlformats.org/officeDocument/2006/relationships/hyperlink" Target="https://www.ncbi.nlm.nih.gov/nuccore/MN273630.1" TargetMode="External"/><Relationship Id="rId73" Type="http://schemas.openxmlformats.org/officeDocument/2006/relationships/hyperlink" Target="https://www.ncbi.nlm.nih.gov/nuccore/JN896227.1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MG247209.1" TargetMode="External"/><Relationship Id="rId30" Type="http://schemas.openxmlformats.org/officeDocument/2006/relationships/hyperlink" Target="https://www.ncbi.nlm.nih.gov/nuccore/KX678696" TargetMode="External"/><Relationship Id="rId35" Type="http://schemas.openxmlformats.org/officeDocument/2006/relationships/hyperlink" Target="https://www.ncbi.nlm.nih.gov/nuccore/MG249045.1" TargetMode="External"/><Relationship Id="rId43" Type="http://schemas.openxmlformats.org/officeDocument/2006/relationships/hyperlink" Target="https://www.ncbi.nlm.nih.gov/nuccore/KF997351.1" TargetMode="External"/><Relationship Id="rId48" Type="http://schemas.openxmlformats.org/officeDocument/2006/relationships/hyperlink" Target="https://www.ncbi.nlm.nih.gov/nuccore/JN893672.1" TargetMode="External"/><Relationship Id="rId56" Type="http://schemas.openxmlformats.org/officeDocument/2006/relationships/hyperlink" Target="https://www.ncbi.nlm.nih.gov/nuccore/JN895965.1?report=fasta" TargetMode="External"/><Relationship Id="rId64" Type="http://schemas.openxmlformats.org/officeDocument/2006/relationships/hyperlink" Target="https://www.ncbi.nlm.nih.gov/nuccore/JN895761" TargetMode="External"/><Relationship Id="rId69" Type="http://schemas.openxmlformats.org/officeDocument/2006/relationships/hyperlink" Target="https://www.ncbi.nlm.nih.gov/nuccore/MK926058.1" TargetMode="Externa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K925660.1" TargetMode="External"/><Relationship Id="rId72" Type="http://schemas.openxmlformats.org/officeDocument/2006/relationships/hyperlink" Target="https://www.ncbi.nlm.nih.gov/nuccore/JN896230.1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www.ncbi.nlm.nih.gov/nuccore/HQ896616" TargetMode="External"/><Relationship Id="rId33" Type="http://schemas.openxmlformats.org/officeDocument/2006/relationships/hyperlink" Target="https://www.ncbi.nlm.nih.gov/nuccore/GQ184375.1" TargetMode="External"/><Relationship Id="rId38" Type="http://schemas.openxmlformats.org/officeDocument/2006/relationships/hyperlink" Target="https://www.ncbi.nlm.nih.gov/nuccore/KC482526" TargetMode="External"/><Relationship Id="rId46" Type="http://schemas.openxmlformats.org/officeDocument/2006/relationships/hyperlink" Target="https://www.ncbi.nlm.nih.gov/nuccore/KM892720.1" TargetMode="External"/><Relationship Id="rId59" Type="http://schemas.openxmlformats.org/officeDocument/2006/relationships/hyperlink" Target="https://www.ncbi.nlm.nih.gov/nuccore/MG191365" TargetMode="External"/><Relationship Id="rId67" Type="http://schemas.openxmlformats.org/officeDocument/2006/relationships/hyperlink" Target="https://www.ncbi.nlm.nih.gov/nuccore/345424693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MN204794.1" TargetMode="External"/><Relationship Id="rId54" Type="http://schemas.openxmlformats.org/officeDocument/2006/relationships/hyperlink" Target="https://www.ncbi.nlm.nih.gov/nuccore/JN894594.1" TargetMode="External"/><Relationship Id="rId62" Type="http://schemas.openxmlformats.org/officeDocument/2006/relationships/hyperlink" Target="https://www.ncbi.nlm.nih.gov/nuccore/JF954308" TargetMode="External"/><Relationship Id="rId70" Type="http://schemas.openxmlformats.org/officeDocument/2006/relationships/hyperlink" Target="https://www.ncbi.nlm.nih.gov/nuccore/KM892729.1" TargetMode="External"/><Relationship Id="rId75" Type="http://schemas.openxmlformats.org/officeDocument/2006/relationships/hyperlink" Target="https://www.ncbi.nlm.nih.gov/nuccore/HE967405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26" Type="http://schemas.openxmlformats.org/officeDocument/2006/relationships/hyperlink" Target="https://www.ncbi.nlm.nih.gov/nuccore/JN891749" TargetMode="External"/><Relationship Id="rId39" Type="http://schemas.openxmlformats.org/officeDocument/2006/relationships/hyperlink" Target="https://www.ncbi.nlm.nih.gov/nuccore/JN893155" TargetMode="External"/><Relationship Id="rId21" Type="http://schemas.openxmlformats.org/officeDocument/2006/relationships/hyperlink" Target="https://www.ncbi.nlm.nih.gov/nuccore/AF531558" TargetMode="External"/><Relationship Id="rId34" Type="http://schemas.openxmlformats.org/officeDocument/2006/relationships/hyperlink" Target="https://www.ncbi.nlm.nih.gov/nuccore/MG191382" TargetMode="External"/><Relationship Id="rId42" Type="http://schemas.openxmlformats.org/officeDocument/2006/relationships/hyperlink" Target="https://www.ncbi.nlm.nih.gov/nuccore/1214618081" TargetMode="External"/><Relationship Id="rId47" Type="http://schemas.openxmlformats.org/officeDocument/2006/relationships/hyperlink" Target="https://www.ncbi.nlm.nih.gov/nuccore/NC_049671.1?from=54692&amp;to=56131&amp;report=fasta" TargetMode="External"/><Relationship Id="rId50" Type="http://schemas.openxmlformats.org/officeDocument/2006/relationships/hyperlink" Target="https://www.ncbi.nlm.nih.gov/nuccore/MW174821.1" TargetMode="External"/><Relationship Id="rId55" Type="http://schemas.openxmlformats.org/officeDocument/2006/relationships/hyperlink" Target="https://www.ncbi.nlm.nih.gov/nuccore/KX677289.1" TargetMode="External"/><Relationship Id="rId63" Type="http://schemas.openxmlformats.org/officeDocument/2006/relationships/hyperlink" Target="https://www.ncbi.nlm.nih.gov/nuccore/KC474537" TargetMode="External"/><Relationship Id="rId68" Type="http://schemas.openxmlformats.org/officeDocument/2006/relationships/hyperlink" Target="https://www.ncbi.nlm.nih.gov/nuccore/MK926054.1" TargetMode="External"/><Relationship Id="rId76" Type="http://schemas.openxmlformats.org/officeDocument/2006/relationships/hyperlink" Target="https://www.ncbi.nlm.nih.gov/nuccore/NC_034379.1?report=fasta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NC_049671.1?from=2036&amp;to=3616&amp;report=fasta&amp;strand=2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MK925510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F976776.1" TargetMode="External"/><Relationship Id="rId32" Type="http://schemas.openxmlformats.org/officeDocument/2006/relationships/hyperlink" Target="https://www.ncbi.nlm.nih.gov/nuccore/JN891540.1" TargetMode="External"/><Relationship Id="rId37" Type="http://schemas.openxmlformats.org/officeDocument/2006/relationships/hyperlink" Target="https://www.ncbi.nlm.nih.gov/nuccore/JF942219" TargetMode="External"/><Relationship Id="rId40" Type="http://schemas.openxmlformats.org/officeDocument/2006/relationships/hyperlink" Target="https://www.ncbi.nlm.nih.gov/nuccore/JN894958" TargetMode="External"/><Relationship Id="rId45" Type="http://schemas.openxmlformats.org/officeDocument/2006/relationships/hyperlink" Target="https://www.ncbi.nlm.nih.gov/nuccore/MK925332.1" TargetMode="External"/><Relationship Id="rId53" Type="http://schemas.openxmlformats.org/officeDocument/2006/relationships/hyperlink" Target="https://www.ncbi.nlm.nih.gov/nuccore/MK926052.1" TargetMode="External"/><Relationship Id="rId58" Type="http://schemas.openxmlformats.org/officeDocument/2006/relationships/hyperlink" Target="https://www.ncbi.nlm.nih.gov/nuccore/KX783642.1" TargetMode="External"/><Relationship Id="rId66" Type="http://schemas.openxmlformats.org/officeDocument/2006/relationships/hyperlink" Target="https://www.ncbi.nlm.nih.gov/nuccore/1214618081" TargetMode="External"/><Relationship Id="rId74" Type="http://schemas.openxmlformats.org/officeDocument/2006/relationships/hyperlink" Target="https://www.ncbi.nlm.nih.gov/nuccore/MW188520.1" TargetMode="External"/><Relationship Id="rId79" Type="http://schemas.openxmlformats.org/officeDocument/2006/relationships/printerSettings" Target="../printerSettings/printerSettings8.bin"/><Relationship Id="rId5" Type="http://schemas.openxmlformats.org/officeDocument/2006/relationships/hyperlink" Target="https://www.ncbi.nlm.nih.gov/nuccore/EF514632" TargetMode="External"/><Relationship Id="rId61" Type="http://schemas.openxmlformats.org/officeDocument/2006/relationships/hyperlink" Target="https://www.ncbi.nlm.nih.gov/nuccore/JN000307" TargetMode="External"/><Relationship Id="rId10" Type="http://schemas.openxmlformats.org/officeDocument/2006/relationships/hyperlink" Target="https://www.ncbi.nlm.nih.gov/nuccore/FN599860" TargetMode="External"/><Relationship Id="rId19" Type="http://schemas.openxmlformats.org/officeDocument/2006/relationships/hyperlink" Target="https://www.ncbi.nlm.nih.gov/nuccore/AF128106" TargetMode="External"/><Relationship Id="rId31" Type="http://schemas.openxmlformats.org/officeDocument/2006/relationships/hyperlink" Target="https://www.ncbi.nlm.nih.gov/nuccore/JN893428.1" TargetMode="External"/><Relationship Id="rId44" Type="http://schemas.openxmlformats.org/officeDocument/2006/relationships/hyperlink" Target="https://www.ncbi.nlm.nih.gov/nuccore/MK924626.1" TargetMode="External"/><Relationship Id="rId52" Type="http://schemas.openxmlformats.org/officeDocument/2006/relationships/hyperlink" Target="https://www.ncbi.nlm.nih.gov/nuccore/JN894751" TargetMode="External"/><Relationship Id="rId60" Type="http://schemas.openxmlformats.org/officeDocument/2006/relationships/hyperlink" Target="https://www.ncbi.nlm.nih.gov/nuccore/MK925875.1" TargetMode="External"/><Relationship Id="rId65" Type="http://schemas.openxmlformats.org/officeDocument/2006/relationships/hyperlink" Target="https://www.ncbi.nlm.nih.gov/nuccore/MN273630.1" TargetMode="External"/><Relationship Id="rId73" Type="http://schemas.openxmlformats.org/officeDocument/2006/relationships/hyperlink" Target="https://www.ncbi.nlm.nih.gov/nuccore/JN896227.1" TargetMode="External"/><Relationship Id="rId78" Type="http://schemas.openxmlformats.org/officeDocument/2006/relationships/hyperlink" Target="https://www.tandfonline.com/doi/full/10.3109/19401736.2015.1115493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MG247209.1" TargetMode="External"/><Relationship Id="rId30" Type="http://schemas.openxmlformats.org/officeDocument/2006/relationships/hyperlink" Target="https://www.ncbi.nlm.nih.gov/nuccore/KX678696" TargetMode="External"/><Relationship Id="rId35" Type="http://schemas.openxmlformats.org/officeDocument/2006/relationships/hyperlink" Target="https://www.ncbi.nlm.nih.gov/nuccore/MG249045.1" TargetMode="External"/><Relationship Id="rId43" Type="http://schemas.openxmlformats.org/officeDocument/2006/relationships/hyperlink" Target="https://www.ncbi.nlm.nih.gov/nuccore/KF997351.1" TargetMode="External"/><Relationship Id="rId48" Type="http://schemas.openxmlformats.org/officeDocument/2006/relationships/hyperlink" Target="https://www.ncbi.nlm.nih.gov/nuccore/JN893672.1" TargetMode="External"/><Relationship Id="rId56" Type="http://schemas.openxmlformats.org/officeDocument/2006/relationships/hyperlink" Target="https://www.ncbi.nlm.nih.gov/nuccore/JN895965.1?report=fasta" TargetMode="External"/><Relationship Id="rId64" Type="http://schemas.openxmlformats.org/officeDocument/2006/relationships/hyperlink" Target="https://www.ncbi.nlm.nih.gov/nuccore/JN895761" TargetMode="External"/><Relationship Id="rId69" Type="http://schemas.openxmlformats.org/officeDocument/2006/relationships/hyperlink" Target="https://www.ncbi.nlm.nih.gov/nuccore/MK926058.1" TargetMode="External"/><Relationship Id="rId77" Type="http://schemas.openxmlformats.org/officeDocument/2006/relationships/hyperlink" Target="https://www.ncbi.nlm.nih.gov/data-hub/genome/GCA_001920985.1/" TargetMode="Externa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K925660.1" TargetMode="External"/><Relationship Id="rId72" Type="http://schemas.openxmlformats.org/officeDocument/2006/relationships/hyperlink" Target="https://www.ncbi.nlm.nih.gov/nuccore/JN896230.1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www.ncbi.nlm.nih.gov/nuccore/HQ896616" TargetMode="External"/><Relationship Id="rId33" Type="http://schemas.openxmlformats.org/officeDocument/2006/relationships/hyperlink" Target="https://www.ncbi.nlm.nih.gov/nuccore/GQ184375.1" TargetMode="External"/><Relationship Id="rId38" Type="http://schemas.openxmlformats.org/officeDocument/2006/relationships/hyperlink" Target="https://www.ncbi.nlm.nih.gov/nuccore/KC482526" TargetMode="External"/><Relationship Id="rId46" Type="http://schemas.openxmlformats.org/officeDocument/2006/relationships/hyperlink" Target="https://www.ncbi.nlm.nih.gov/nuccore/KM892720.1" TargetMode="External"/><Relationship Id="rId59" Type="http://schemas.openxmlformats.org/officeDocument/2006/relationships/hyperlink" Target="https://www.ncbi.nlm.nih.gov/nuccore/MG191365" TargetMode="External"/><Relationship Id="rId67" Type="http://schemas.openxmlformats.org/officeDocument/2006/relationships/hyperlink" Target="https://www.ncbi.nlm.nih.gov/nuccore/345424693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MN204794.1" TargetMode="External"/><Relationship Id="rId54" Type="http://schemas.openxmlformats.org/officeDocument/2006/relationships/hyperlink" Target="https://www.ncbi.nlm.nih.gov/nuccore/JN894594.1" TargetMode="External"/><Relationship Id="rId62" Type="http://schemas.openxmlformats.org/officeDocument/2006/relationships/hyperlink" Target="https://www.ncbi.nlm.nih.gov/nuccore/JF954308" TargetMode="External"/><Relationship Id="rId70" Type="http://schemas.openxmlformats.org/officeDocument/2006/relationships/hyperlink" Target="https://www.ncbi.nlm.nih.gov/nuccore/KM892729.1" TargetMode="External"/><Relationship Id="rId75" Type="http://schemas.openxmlformats.org/officeDocument/2006/relationships/hyperlink" Target="https://www.ncbi.nlm.nih.gov/nuccore/HE967405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www.ncbi.nlm.nih.gov/nuccore/MW605071.1" TargetMode="External"/><Relationship Id="rId28" Type="http://schemas.openxmlformats.org/officeDocument/2006/relationships/hyperlink" Target="https://www.ncbi.nlm.nih.gov/nuccore/JN891539.1" TargetMode="External"/><Relationship Id="rId36" Type="http://schemas.openxmlformats.org/officeDocument/2006/relationships/hyperlink" Target="https://www.ncbi.nlm.nih.gov/nuccore/EF208123" TargetMode="External"/><Relationship Id="rId49" Type="http://schemas.openxmlformats.org/officeDocument/2006/relationships/hyperlink" Target="https://www.ncbi.nlm.nih.gov/nuccore/JN893801.1" TargetMode="External"/><Relationship Id="rId57" Type="http://schemas.openxmlformats.org/officeDocument/2006/relationships/hyperlink" Target="https://www.ncbi.nlm.nih.gov/nuccore/JN894595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C8B5-637D-4871-B47E-17528A4CF357}">
  <dimension ref="B2:C10"/>
  <sheetViews>
    <sheetView workbookViewId="0">
      <selection activeCell="G15" sqref="G15"/>
    </sheetView>
  </sheetViews>
  <sheetFormatPr defaultRowHeight="14.4" x14ac:dyDescent="0.3"/>
  <cols>
    <col min="2" max="2" width="29.88671875" customWidth="1"/>
  </cols>
  <sheetData>
    <row r="2" spans="2:3" x14ac:dyDescent="0.3">
      <c r="B2" t="s">
        <v>709</v>
      </c>
      <c r="C2" t="s">
        <v>723</v>
      </c>
    </row>
    <row r="3" spans="2:3" x14ac:dyDescent="0.3">
      <c r="B3" t="s">
        <v>708</v>
      </c>
      <c r="C3" t="s">
        <v>710</v>
      </c>
    </row>
    <row r="4" spans="2:3" x14ac:dyDescent="0.3">
      <c r="B4" t="s">
        <v>711</v>
      </c>
      <c r="C4" t="s">
        <v>712</v>
      </c>
    </row>
    <row r="5" spans="2:3" x14ac:dyDescent="0.3">
      <c r="B5" t="s">
        <v>713</v>
      </c>
      <c r="C5" t="s">
        <v>715</v>
      </c>
    </row>
    <row r="6" spans="2:3" x14ac:dyDescent="0.3">
      <c r="B6" t="s">
        <v>717</v>
      </c>
      <c r="C6" t="s">
        <v>718</v>
      </c>
    </row>
    <row r="7" spans="2:3" x14ac:dyDescent="0.3">
      <c r="B7" t="s">
        <v>714</v>
      </c>
      <c r="C7" t="s">
        <v>716</v>
      </c>
    </row>
    <row r="8" spans="2:3" x14ac:dyDescent="0.3">
      <c r="B8" t="s">
        <v>719</v>
      </c>
      <c r="C8" t="s">
        <v>720</v>
      </c>
    </row>
    <row r="9" spans="2:3" x14ac:dyDescent="0.3">
      <c r="B9" t="s">
        <v>721</v>
      </c>
      <c r="C9" t="s">
        <v>722</v>
      </c>
    </row>
    <row r="10" spans="2:3" x14ac:dyDescent="0.3">
      <c r="B10" t="s">
        <v>724</v>
      </c>
      <c r="C10" t="s">
        <v>725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3C45-C864-4830-B257-76C9BD30ECEA}">
  <dimension ref="A1:AN55"/>
  <sheetViews>
    <sheetView zoomScale="70" zoomScaleNormal="7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A5" sqref="A5:XFD5"/>
    </sheetView>
  </sheetViews>
  <sheetFormatPr defaultRowHeight="14.4" x14ac:dyDescent="0.3"/>
  <cols>
    <col min="1" max="1" width="15.6640625" style="47" customWidth="1"/>
    <col min="2" max="2" width="16.88671875" style="148" customWidth="1"/>
    <col min="3" max="3" width="14.33203125" style="148" customWidth="1"/>
    <col min="4" max="4" width="34" customWidth="1"/>
    <col min="5" max="5" width="15" style="47" customWidth="1"/>
    <col min="6" max="6" width="21.109375" style="47" customWidth="1"/>
    <col min="7" max="8" width="14.5546875" style="47" customWidth="1"/>
    <col min="9" max="9" width="12.44140625" style="47" customWidth="1"/>
    <col min="10" max="11" width="15.6640625" style="47" customWidth="1"/>
    <col min="12" max="12" width="18" style="47" customWidth="1"/>
    <col min="13" max="13" width="15.6640625" style="47" customWidth="1"/>
    <col min="14" max="14" width="15.44140625" customWidth="1"/>
    <col min="15" max="15" width="20.33203125" customWidth="1"/>
    <col min="16" max="16" width="33.33203125" customWidth="1"/>
    <col min="17" max="17" width="20.88671875" style="47" customWidth="1"/>
    <col min="18" max="18" width="16.88671875" customWidth="1"/>
    <col min="19" max="19" width="17.5546875" style="47" customWidth="1"/>
    <col min="20" max="20" width="10.44140625" style="47" customWidth="1"/>
    <col min="21" max="21" width="15.5546875" style="47" customWidth="1"/>
    <col min="22" max="23" width="16.88671875" style="47" customWidth="1"/>
    <col min="24" max="24" width="19.6640625" style="47" customWidth="1"/>
    <col min="25" max="26" width="23.109375" style="47" customWidth="1"/>
    <col min="27" max="28" width="18.88671875" style="47" customWidth="1"/>
    <col min="29" max="29" width="78.109375" customWidth="1"/>
    <col min="30" max="30" width="27.33203125" customWidth="1"/>
    <col min="31" max="31" width="10.5546875" customWidth="1"/>
    <col min="33" max="33" width="31.109375" customWidth="1"/>
    <col min="34" max="34" width="29" customWidth="1"/>
    <col min="35" max="35" width="86.44140625" customWidth="1"/>
    <col min="36" max="36" width="43.44140625" customWidth="1"/>
    <col min="37" max="40" width="19.6640625" style="115" customWidth="1"/>
  </cols>
  <sheetData>
    <row r="1" spans="1:40" s="47" customFormat="1" ht="46.5" customHeight="1" x14ac:dyDescent="0.3">
      <c r="A1" s="91" t="s">
        <v>510</v>
      </c>
      <c r="B1" s="91" t="s">
        <v>511</v>
      </c>
      <c r="C1" s="91" t="s">
        <v>392</v>
      </c>
      <c r="D1" s="91" t="s">
        <v>512</v>
      </c>
      <c r="E1" s="91" t="s">
        <v>6</v>
      </c>
      <c r="F1" s="91" t="s">
        <v>5</v>
      </c>
      <c r="G1" s="91" t="s">
        <v>513</v>
      </c>
      <c r="H1" s="91" t="s">
        <v>514</v>
      </c>
      <c r="I1" s="91" t="s">
        <v>515</v>
      </c>
      <c r="J1" s="91" t="s">
        <v>516</v>
      </c>
      <c r="K1" s="91" t="s">
        <v>11</v>
      </c>
      <c r="L1" s="91" t="s">
        <v>517</v>
      </c>
      <c r="M1" s="91" t="s">
        <v>2</v>
      </c>
      <c r="N1" s="92" t="s">
        <v>518</v>
      </c>
      <c r="O1" s="92" t="s">
        <v>519</v>
      </c>
      <c r="P1" s="92" t="s">
        <v>520</v>
      </c>
      <c r="Q1" s="92" t="s">
        <v>521</v>
      </c>
      <c r="R1" s="92" t="s">
        <v>522</v>
      </c>
      <c r="S1" s="92" t="s">
        <v>523</v>
      </c>
      <c r="T1" s="92" t="s">
        <v>524</v>
      </c>
      <c r="U1" s="92" t="s">
        <v>525</v>
      </c>
      <c r="V1" s="92" t="s">
        <v>526</v>
      </c>
      <c r="W1" s="92" t="s">
        <v>527</v>
      </c>
      <c r="X1" s="92" t="s">
        <v>528</v>
      </c>
      <c r="Y1" s="92" t="s">
        <v>529</v>
      </c>
      <c r="Z1" s="92" t="s">
        <v>530</v>
      </c>
      <c r="AA1" s="92" t="s">
        <v>531</v>
      </c>
      <c r="AB1" s="92" t="s">
        <v>532</v>
      </c>
      <c r="AC1" s="92" t="s">
        <v>103</v>
      </c>
      <c r="AD1" s="93" t="s">
        <v>533</v>
      </c>
      <c r="AE1" s="93" t="s">
        <v>534</v>
      </c>
      <c r="AF1" s="93" t="s">
        <v>518</v>
      </c>
      <c r="AG1" s="93" t="s">
        <v>535</v>
      </c>
      <c r="AH1" s="93" t="s">
        <v>536</v>
      </c>
      <c r="AI1" s="93" t="s">
        <v>537</v>
      </c>
      <c r="AJ1" s="93" t="s">
        <v>538</v>
      </c>
      <c r="AK1" s="94"/>
      <c r="AL1" s="94"/>
      <c r="AM1" s="94"/>
      <c r="AN1" s="94"/>
    </row>
    <row r="2" spans="1:40" ht="16.5" customHeight="1" x14ac:dyDescent="0.3">
      <c r="A2" s="9" t="s">
        <v>539</v>
      </c>
      <c r="B2" s="33"/>
      <c r="C2" s="33"/>
      <c r="D2" s="95" t="s">
        <v>255</v>
      </c>
      <c r="E2" s="96" t="s">
        <v>540</v>
      </c>
      <c r="F2" s="9" t="s">
        <v>541</v>
      </c>
      <c r="G2" s="9"/>
      <c r="H2" s="9"/>
      <c r="I2" s="9"/>
      <c r="J2" s="97"/>
      <c r="K2" s="9"/>
      <c r="L2" s="9"/>
      <c r="M2" s="9"/>
      <c r="N2" s="98" t="s">
        <v>59</v>
      </c>
      <c r="O2" s="98"/>
      <c r="P2" s="98"/>
      <c r="Q2" s="39"/>
      <c r="R2" s="98"/>
      <c r="S2" s="39"/>
      <c r="T2" s="39">
        <v>44</v>
      </c>
      <c r="U2" s="39">
        <v>10</v>
      </c>
      <c r="V2" s="39">
        <v>5.7999999999999996E-3</v>
      </c>
      <c r="W2" s="39"/>
      <c r="X2" s="39">
        <v>1.5888</v>
      </c>
      <c r="Y2" s="99">
        <f t="shared" ref="Y2:Y23" si="0">(X2*U2)/V2</f>
        <v>2739.3103448275865</v>
      </c>
      <c r="Z2" s="39"/>
      <c r="AA2" s="39"/>
      <c r="AB2" s="39"/>
      <c r="AC2" s="98"/>
      <c r="AD2" s="100"/>
      <c r="AE2" s="100"/>
      <c r="AF2" s="100"/>
      <c r="AG2" s="100"/>
      <c r="AH2" s="100"/>
      <c r="AI2" s="100"/>
      <c r="AJ2" s="100"/>
      <c r="AK2" s="101"/>
      <c r="AL2" s="101"/>
      <c r="AM2" s="101"/>
      <c r="AN2" s="101"/>
    </row>
    <row r="3" spans="1:40" ht="16.5" customHeight="1" x14ac:dyDescent="0.3">
      <c r="A3" s="102" t="s">
        <v>38</v>
      </c>
      <c r="B3" s="102"/>
      <c r="C3" s="102"/>
      <c r="D3" s="103" t="s">
        <v>542</v>
      </c>
      <c r="E3" s="104" t="s">
        <v>543</v>
      </c>
      <c r="F3" s="40" t="s">
        <v>40</v>
      </c>
      <c r="G3" s="40"/>
      <c r="H3" s="40" t="s">
        <v>544</v>
      </c>
      <c r="I3" s="40" t="s">
        <v>89</v>
      </c>
      <c r="J3" s="105">
        <v>0</v>
      </c>
      <c r="K3" s="40" t="s">
        <v>262</v>
      </c>
      <c r="L3" s="40" t="e">
        <f t="shared" ref="L3:L15" si="1">50/J3</f>
        <v>#DIV/0!</v>
      </c>
      <c r="M3" s="40"/>
      <c r="N3" s="106">
        <v>2019</v>
      </c>
      <c r="O3" s="106" t="s">
        <v>38</v>
      </c>
      <c r="P3" s="106"/>
      <c r="Q3" s="107"/>
      <c r="R3" s="106"/>
      <c r="S3" s="107">
        <v>1</v>
      </c>
      <c r="T3" s="107">
        <v>1</v>
      </c>
      <c r="U3" s="107">
        <v>10</v>
      </c>
      <c r="V3" s="107">
        <v>2.1000000000000001E-2</v>
      </c>
      <c r="W3" s="107"/>
      <c r="X3" s="107">
        <v>7.2378999999999998</v>
      </c>
      <c r="Y3" s="99">
        <f t="shared" si="0"/>
        <v>3446.6190476190468</v>
      </c>
      <c r="Z3" s="99">
        <v>80</v>
      </c>
      <c r="AA3" s="108">
        <f>Z3*V3/U3</f>
        <v>0.16800000000000001</v>
      </c>
      <c r="AB3" s="108">
        <f>(300*V3)/U3</f>
        <v>0.63000000000000012</v>
      </c>
      <c r="AC3" s="106" t="s">
        <v>545</v>
      </c>
      <c r="AD3" s="109" t="s">
        <v>546</v>
      </c>
      <c r="AE3" s="109"/>
      <c r="AF3" s="109">
        <v>2019</v>
      </c>
      <c r="AG3" s="109" t="s">
        <v>547</v>
      </c>
      <c r="AH3" s="110" t="s">
        <v>548</v>
      </c>
      <c r="AI3" s="109" t="s">
        <v>549</v>
      </c>
      <c r="AJ3" s="109" t="s">
        <v>550</v>
      </c>
      <c r="AK3" s="101"/>
      <c r="AL3" s="101"/>
      <c r="AM3" s="101"/>
      <c r="AN3" s="101"/>
    </row>
    <row r="4" spans="1:40" ht="16.5" customHeight="1" x14ac:dyDescent="0.3">
      <c r="A4" s="102"/>
      <c r="B4" s="102"/>
      <c r="C4" s="102"/>
      <c r="D4" s="111" t="s">
        <v>551</v>
      </c>
      <c r="E4" s="104" t="s">
        <v>543</v>
      </c>
      <c r="F4" s="40" t="s">
        <v>40</v>
      </c>
      <c r="G4" s="40"/>
      <c r="H4" s="40" t="s">
        <v>552</v>
      </c>
      <c r="I4" s="40" t="s">
        <v>89</v>
      </c>
      <c r="J4" s="105">
        <v>0</v>
      </c>
      <c r="K4" s="40" t="s">
        <v>262</v>
      </c>
      <c r="L4" s="40" t="e">
        <f t="shared" si="1"/>
        <v>#DIV/0!</v>
      </c>
      <c r="M4" s="40"/>
      <c r="N4" s="106"/>
      <c r="O4" s="106"/>
      <c r="P4" s="106"/>
      <c r="Q4" s="107"/>
      <c r="R4" s="106"/>
      <c r="S4" s="107"/>
      <c r="T4" s="107">
        <v>37</v>
      </c>
      <c r="U4" s="107">
        <v>23</v>
      </c>
      <c r="V4" s="107">
        <v>4.41E-2</v>
      </c>
      <c r="W4" s="107"/>
      <c r="X4" s="107">
        <v>0.8165</v>
      </c>
      <c r="Y4" s="99">
        <f t="shared" si="0"/>
        <v>425.83900226757368</v>
      </c>
      <c r="Z4" s="99"/>
      <c r="AA4" s="108"/>
      <c r="AB4" s="108"/>
      <c r="AC4" s="106"/>
      <c r="AD4" s="109"/>
      <c r="AE4" s="109"/>
      <c r="AF4" s="109"/>
      <c r="AG4" s="109"/>
      <c r="AH4" s="110"/>
      <c r="AI4" s="109"/>
      <c r="AJ4" s="109"/>
      <c r="AK4" s="101"/>
      <c r="AL4" s="101"/>
      <c r="AM4" s="101"/>
      <c r="AN4" s="101"/>
    </row>
    <row r="5" spans="1:40" ht="16.5" customHeight="1" x14ac:dyDescent="0.3">
      <c r="A5" s="102" t="s">
        <v>539</v>
      </c>
      <c r="B5" s="112" t="s">
        <v>16</v>
      </c>
      <c r="C5" s="102" t="s">
        <v>553</v>
      </c>
      <c r="D5" s="103" t="s">
        <v>58</v>
      </c>
      <c r="E5" s="104" t="s">
        <v>264</v>
      </c>
      <c r="F5" s="40" t="s">
        <v>24</v>
      </c>
      <c r="G5" s="40"/>
      <c r="H5" s="9" t="s">
        <v>554</v>
      </c>
      <c r="I5" s="40" t="s">
        <v>16</v>
      </c>
      <c r="J5" s="105">
        <v>0</v>
      </c>
      <c r="K5" s="40" t="s">
        <v>262</v>
      </c>
      <c r="L5" s="40" t="e">
        <f t="shared" si="1"/>
        <v>#DIV/0!</v>
      </c>
      <c r="M5" s="40"/>
      <c r="N5" s="106"/>
      <c r="O5" s="106" t="s">
        <v>555</v>
      </c>
      <c r="P5" s="106"/>
      <c r="Q5" s="107" t="s">
        <v>556</v>
      </c>
      <c r="R5" s="106"/>
      <c r="S5" s="107">
        <v>1</v>
      </c>
      <c r="T5" s="107">
        <v>2</v>
      </c>
      <c r="U5" s="107">
        <v>16</v>
      </c>
      <c r="V5" s="107">
        <v>1.6000000000000001E-3</v>
      </c>
      <c r="W5" s="113">
        <f t="shared" ref="W5:W12" si="2">V5/U5</f>
        <v>1E-4</v>
      </c>
      <c r="X5" s="107">
        <v>4.8599999999999997E-2</v>
      </c>
      <c r="Y5" s="114">
        <f t="shared" si="0"/>
        <v>485.99999999999994</v>
      </c>
      <c r="Z5" s="99">
        <v>45</v>
      </c>
      <c r="AA5" s="108">
        <f t="shared" ref="AA5:AA10" si="3">Z5*V5/U5</f>
        <v>4.5000000000000005E-3</v>
      </c>
      <c r="AB5" s="108">
        <f>(300*V5)/U5</f>
        <v>3.0000000000000002E-2</v>
      </c>
      <c r="AC5" s="106" t="s">
        <v>557</v>
      </c>
      <c r="AD5" s="109"/>
      <c r="AE5" s="109"/>
      <c r="AF5" s="109"/>
      <c r="AG5" s="109"/>
      <c r="AH5" s="109"/>
      <c r="AI5" s="109"/>
      <c r="AJ5" s="109" t="s">
        <v>557</v>
      </c>
    </row>
    <row r="6" spans="1:40" ht="16.5" customHeight="1" x14ac:dyDescent="0.3">
      <c r="A6" s="102" t="s">
        <v>38</v>
      </c>
      <c r="B6" s="112" t="s">
        <v>16</v>
      </c>
      <c r="C6" s="102" t="s">
        <v>173</v>
      </c>
      <c r="D6" s="103" t="s">
        <v>23</v>
      </c>
      <c r="E6" s="104" t="s">
        <v>25</v>
      </c>
      <c r="F6" s="40" t="s">
        <v>24</v>
      </c>
      <c r="G6" s="40"/>
      <c r="H6" s="9" t="s">
        <v>558</v>
      </c>
      <c r="I6" s="40" t="s">
        <v>16</v>
      </c>
      <c r="J6" s="105">
        <v>1</v>
      </c>
      <c r="K6" s="40" t="s">
        <v>559</v>
      </c>
      <c r="L6" s="40">
        <f t="shared" si="1"/>
        <v>50</v>
      </c>
      <c r="M6" s="40"/>
      <c r="N6" s="106"/>
      <c r="O6" s="106" t="s">
        <v>38</v>
      </c>
      <c r="P6" s="106"/>
      <c r="Q6" s="107"/>
      <c r="R6" s="106"/>
      <c r="S6" s="107">
        <v>1</v>
      </c>
      <c r="T6" s="107">
        <v>3</v>
      </c>
      <c r="U6" s="107">
        <v>26</v>
      </c>
      <c r="V6" s="107">
        <v>8.9999999999999998E-4</v>
      </c>
      <c r="W6" s="113">
        <f t="shared" si="2"/>
        <v>3.4615384615384612E-5</v>
      </c>
      <c r="X6" s="107">
        <v>0.28899999999999998</v>
      </c>
      <c r="Y6" s="99">
        <f t="shared" si="0"/>
        <v>8348.8888888888887</v>
      </c>
      <c r="Z6" s="99">
        <v>80</v>
      </c>
      <c r="AA6" s="108">
        <f t="shared" si="3"/>
        <v>2.7692307692307691E-3</v>
      </c>
      <c r="AB6" s="108">
        <f>(300*V6)/U6</f>
        <v>1.0384615384615384E-2</v>
      </c>
      <c r="AC6" s="106"/>
      <c r="AD6" s="109" t="s">
        <v>560</v>
      </c>
      <c r="AE6" s="109"/>
      <c r="AF6" s="109">
        <v>2019</v>
      </c>
      <c r="AG6" s="109"/>
      <c r="AH6" s="109" t="s">
        <v>561</v>
      </c>
      <c r="AI6" s="109" t="s">
        <v>562</v>
      </c>
      <c r="AJ6" s="109" t="s">
        <v>409</v>
      </c>
      <c r="AK6" s="101"/>
      <c r="AL6" s="101"/>
      <c r="AM6" s="101"/>
      <c r="AN6" s="101"/>
    </row>
    <row r="7" spans="1:40" ht="16.5" customHeight="1" x14ac:dyDescent="0.3">
      <c r="A7" s="102" t="s">
        <v>38</v>
      </c>
      <c r="B7" s="112" t="s">
        <v>38</v>
      </c>
      <c r="C7" s="102" t="s">
        <v>553</v>
      </c>
      <c r="D7" s="116" t="s">
        <v>55</v>
      </c>
      <c r="E7" s="104" t="s">
        <v>56</v>
      </c>
      <c r="F7" s="40" t="s">
        <v>19</v>
      </c>
      <c r="G7" s="40"/>
      <c r="H7" s="40" t="s">
        <v>544</v>
      </c>
      <c r="I7" s="40" t="s">
        <v>16</v>
      </c>
      <c r="J7" s="105">
        <v>0.64</v>
      </c>
      <c r="K7" s="40" t="s">
        <v>559</v>
      </c>
      <c r="L7" s="117">
        <f t="shared" si="1"/>
        <v>78.125</v>
      </c>
      <c r="M7" s="117"/>
      <c r="N7" s="106">
        <v>2019</v>
      </c>
      <c r="O7" s="106" t="s">
        <v>38</v>
      </c>
      <c r="P7" s="106"/>
      <c r="Q7" s="107"/>
      <c r="R7" s="106"/>
      <c r="S7" s="107">
        <v>1</v>
      </c>
      <c r="T7" s="107">
        <v>4</v>
      </c>
      <c r="U7" s="107">
        <v>25</v>
      </c>
      <c r="V7" s="107">
        <v>2.3E-3</v>
      </c>
      <c r="W7" s="113">
        <f t="shared" si="2"/>
        <v>9.2E-5</v>
      </c>
      <c r="X7" s="107">
        <v>1.2707999999999999</v>
      </c>
      <c r="Y7" s="99">
        <f t="shared" si="0"/>
        <v>13813.04347826087</v>
      </c>
      <c r="Z7" s="99">
        <v>80</v>
      </c>
      <c r="AA7" s="108">
        <f t="shared" si="3"/>
        <v>7.3600000000000002E-3</v>
      </c>
      <c r="AB7" s="108">
        <f>(300*V7)/U7</f>
        <v>2.76E-2</v>
      </c>
      <c r="AC7" s="106" t="s">
        <v>563</v>
      </c>
      <c r="AD7" s="109" t="s">
        <v>560</v>
      </c>
      <c r="AE7" s="109"/>
      <c r="AF7" s="109">
        <v>2019</v>
      </c>
      <c r="AG7" s="109" t="s">
        <v>547</v>
      </c>
      <c r="AH7" s="109" t="s">
        <v>564</v>
      </c>
      <c r="AI7" s="109" t="s">
        <v>565</v>
      </c>
      <c r="AJ7" s="109" t="s">
        <v>566</v>
      </c>
    </row>
    <row r="8" spans="1:40" ht="16.5" customHeight="1" x14ac:dyDescent="0.3">
      <c r="A8" s="102" t="s">
        <v>38</v>
      </c>
      <c r="B8" s="112" t="s">
        <v>16</v>
      </c>
      <c r="C8" s="102" t="s">
        <v>173</v>
      </c>
      <c r="D8" s="116" t="s">
        <v>28</v>
      </c>
      <c r="E8" s="104" t="s">
        <v>29</v>
      </c>
      <c r="F8" s="40" t="s">
        <v>24</v>
      </c>
      <c r="G8" s="40"/>
      <c r="H8" s="40" t="s">
        <v>567</v>
      </c>
      <c r="I8" s="40" t="s">
        <v>16</v>
      </c>
      <c r="J8" s="105">
        <v>0.82</v>
      </c>
      <c r="K8" s="40" t="s">
        <v>559</v>
      </c>
      <c r="L8" s="117">
        <f t="shared" si="1"/>
        <v>60.975609756097562</v>
      </c>
      <c r="M8" s="117"/>
      <c r="N8" s="106">
        <v>2020</v>
      </c>
      <c r="O8" s="106" t="s">
        <v>568</v>
      </c>
      <c r="P8" s="106" t="s">
        <v>569</v>
      </c>
      <c r="Q8" s="118" t="s">
        <v>570</v>
      </c>
      <c r="R8" s="119"/>
      <c r="S8" s="107"/>
      <c r="T8" s="107">
        <v>5</v>
      </c>
      <c r="U8" s="107">
        <v>8</v>
      </c>
      <c r="V8" s="107">
        <v>4.5600000000000002E-2</v>
      </c>
      <c r="W8" s="113">
        <f t="shared" si="2"/>
        <v>5.7000000000000002E-3</v>
      </c>
      <c r="X8" s="107">
        <v>6.1776999999999997</v>
      </c>
      <c r="Y8" s="99">
        <f t="shared" si="0"/>
        <v>1083.8070175438595</v>
      </c>
      <c r="Z8" s="99">
        <v>80</v>
      </c>
      <c r="AA8" s="108">
        <f t="shared" si="3"/>
        <v>0.45600000000000002</v>
      </c>
      <c r="AB8" s="108">
        <v>0.1071</v>
      </c>
      <c r="AC8" s="106" t="s">
        <v>571</v>
      </c>
      <c r="AD8" s="110" t="s">
        <v>572</v>
      </c>
      <c r="AE8" s="110"/>
      <c r="AF8" s="109" t="s">
        <v>59</v>
      </c>
      <c r="AG8" s="109" t="s">
        <v>547</v>
      </c>
      <c r="AH8" s="109" t="s">
        <v>564</v>
      </c>
      <c r="AI8" s="109" t="s">
        <v>573</v>
      </c>
      <c r="AJ8" s="109" t="s">
        <v>574</v>
      </c>
    </row>
    <row r="9" spans="1:40" ht="16.5" customHeight="1" x14ac:dyDescent="0.3">
      <c r="A9" s="102" t="s">
        <v>38</v>
      </c>
      <c r="B9" s="112" t="s">
        <v>16</v>
      </c>
      <c r="C9" s="102" t="s">
        <v>173</v>
      </c>
      <c r="D9" s="116" t="s">
        <v>116</v>
      </c>
      <c r="E9" s="104" t="s">
        <v>53</v>
      </c>
      <c r="F9" s="40" t="s">
        <v>19</v>
      </c>
      <c r="G9" s="40"/>
      <c r="H9" s="40" t="s">
        <v>567</v>
      </c>
      <c r="I9" s="40" t="s">
        <v>16</v>
      </c>
      <c r="J9" s="105">
        <v>0.32</v>
      </c>
      <c r="K9" s="40" t="s">
        <v>559</v>
      </c>
      <c r="L9" s="117">
        <f t="shared" si="1"/>
        <v>156.25</v>
      </c>
      <c r="M9" s="117"/>
      <c r="N9" s="106">
        <v>2020</v>
      </c>
      <c r="O9" s="106" t="s">
        <v>38</v>
      </c>
      <c r="P9" s="106" t="s">
        <v>569</v>
      </c>
      <c r="Q9" s="118" t="s">
        <v>570</v>
      </c>
      <c r="R9" s="119"/>
      <c r="S9" s="107"/>
      <c r="T9" s="107">
        <v>6</v>
      </c>
      <c r="U9" s="107">
        <v>10</v>
      </c>
      <c r="V9" s="107">
        <v>6.4999999999999997E-3</v>
      </c>
      <c r="W9" s="113">
        <f t="shared" si="2"/>
        <v>6.4999999999999997E-4</v>
      </c>
      <c r="X9" s="107">
        <v>19.728000000000002</v>
      </c>
      <c r="Y9" s="99">
        <f t="shared" si="0"/>
        <v>30350.769230769238</v>
      </c>
      <c r="Z9" s="99">
        <v>80</v>
      </c>
      <c r="AA9" s="108">
        <f t="shared" si="3"/>
        <v>5.2000000000000005E-2</v>
      </c>
      <c r="AB9" s="108" t="s">
        <v>575</v>
      </c>
      <c r="AC9" s="106"/>
      <c r="AD9" s="109" t="s">
        <v>576</v>
      </c>
      <c r="AE9" s="109"/>
      <c r="AF9" s="109">
        <v>2016</v>
      </c>
      <c r="AG9" s="109"/>
      <c r="AH9" s="109" t="s">
        <v>577</v>
      </c>
      <c r="AI9" s="109" t="s">
        <v>578</v>
      </c>
      <c r="AJ9" s="109" t="s">
        <v>579</v>
      </c>
    </row>
    <row r="10" spans="1:40" ht="16.5" customHeight="1" x14ac:dyDescent="0.3">
      <c r="A10" s="102" t="s">
        <v>38</v>
      </c>
      <c r="B10" s="112" t="s">
        <v>16</v>
      </c>
      <c r="C10" s="102" t="s">
        <v>553</v>
      </c>
      <c r="D10" s="116" t="s">
        <v>65</v>
      </c>
      <c r="E10" s="104" t="s">
        <v>41</v>
      </c>
      <c r="F10" s="40" t="s">
        <v>40</v>
      </c>
      <c r="G10" s="40"/>
      <c r="H10" s="40" t="s">
        <v>544</v>
      </c>
      <c r="I10" s="40" t="s">
        <v>16</v>
      </c>
      <c r="J10" s="105">
        <v>0.65</v>
      </c>
      <c r="K10" s="40" t="s">
        <v>580</v>
      </c>
      <c r="L10" s="117">
        <f t="shared" si="1"/>
        <v>76.92307692307692</v>
      </c>
      <c r="M10" s="117"/>
      <c r="N10" s="106">
        <v>2018</v>
      </c>
      <c r="O10" s="106" t="s">
        <v>38</v>
      </c>
      <c r="P10" s="106"/>
      <c r="Q10" s="107"/>
      <c r="R10" s="106"/>
      <c r="S10" s="107">
        <v>2</v>
      </c>
      <c r="T10" s="107">
        <v>7</v>
      </c>
      <c r="U10" s="107">
        <v>18</v>
      </c>
      <c r="V10" s="107">
        <v>1.66E-2</v>
      </c>
      <c r="W10" s="113">
        <f t="shared" si="2"/>
        <v>9.2222222222222228E-4</v>
      </c>
      <c r="X10" s="107">
        <f>36.3752*2</f>
        <v>72.750399999999999</v>
      </c>
      <c r="Y10" s="99">
        <f t="shared" si="0"/>
        <v>78885.975903614453</v>
      </c>
      <c r="Z10" s="99">
        <v>80</v>
      </c>
      <c r="AA10" s="108">
        <f t="shared" si="3"/>
        <v>7.3777777777777775E-2</v>
      </c>
      <c r="AB10" s="108">
        <f>(300*V10)/U10</f>
        <v>0.27666666666666667</v>
      </c>
      <c r="AC10" s="106"/>
      <c r="AD10" s="109" t="s">
        <v>581</v>
      </c>
      <c r="AE10" s="109"/>
      <c r="AF10" s="109">
        <v>2016</v>
      </c>
      <c r="AG10" s="109"/>
      <c r="AH10" s="109" t="s">
        <v>564</v>
      </c>
      <c r="AI10" s="109" t="s">
        <v>582</v>
      </c>
      <c r="AJ10" s="109" t="s">
        <v>583</v>
      </c>
      <c r="AK10" s="101"/>
      <c r="AL10" s="101"/>
      <c r="AM10" s="101"/>
      <c r="AN10" s="101"/>
    </row>
    <row r="11" spans="1:40" ht="16.5" customHeight="1" x14ac:dyDescent="0.3">
      <c r="A11" s="102"/>
      <c r="B11" s="112" t="s">
        <v>16</v>
      </c>
      <c r="C11" s="102" t="s">
        <v>226</v>
      </c>
      <c r="D11" s="120" t="s">
        <v>584</v>
      </c>
      <c r="E11" s="104" t="s">
        <v>41</v>
      </c>
      <c r="F11" s="40" t="s">
        <v>40</v>
      </c>
      <c r="G11" s="40"/>
      <c r="H11" s="40" t="s">
        <v>552</v>
      </c>
      <c r="I11" s="40" t="s">
        <v>16</v>
      </c>
      <c r="J11" s="105">
        <v>0.96</v>
      </c>
      <c r="K11" s="40" t="s">
        <v>580</v>
      </c>
      <c r="L11" s="117">
        <f t="shared" si="1"/>
        <v>52.083333333333336</v>
      </c>
      <c r="M11" s="117"/>
      <c r="N11" s="106"/>
      <c r="O11" s="106"/>
      <c r="P11" s="106"/>
      <c r="Q11" s="107"/>
      <c r="R11" s="106"/>
      <c r="S11" s="107"/>
      <c r="T11" s="107">
        <v>38</v>
      </c>
      <c r="U11" s="107">
        <v>295</v>
      </c>
      <c r="V11" s="107">
        <v>1</v>
      </c>
      <c r="W11" s="113">
        <f t="shared" si="2"/>
        <v>3.3898305084745762E-3</v>
      </c>
      <c r="X11" s="107">
        <v>17.66</v>
      </c>
      <c r="Y11" s="99">
        <f t="shared" si="0"/>
        <v>5209.7</v>
      </c>
      <c r="Z11" s="99"/>
      <c r="AA11" s="108"/>
      <c r="AB11" s="108"/>
      <c r="AC11" s="106"/>
      <c r="AD11" s="110"/>
      <c r="AE11" s="110"/>
      <c r="AF11" s="109"/>
      <c r="AG11" s="109"/>
      <c r="AH11" s="109"/>
      <c r="AI11" s="109"/>
      <c r="AJ11" s="109"/>
    </row>
    <row r="12" spans="1:40" ht="16.5" customHeight="1" x14ac:dyDescent="0.3">
      <c r="A12" s="102" t="s">
        <v>539</v>
      </c>
      <c r="B12" s="112" t="s">
        <v>16</v>
      </c>
      <c r="C12" s="102" t="s">
        <v>226</v>
      </c>
      <c r="D12" s="121" t="s">
        <v>585</v>
      </c>
      <c r="E12" s="104" t="s">
        <v>41</v>
      </c>
      <c r="F12" s="40" t="s">
        <v>40</v>
      </c>
      <c r="G12" s="40"/>
      <c r="H12" s="40" t="s">
        <v>544</v>
      </c>
      <c r="I12" s="40" t="s">
        <v>16</v>
      </c>
      <c r="J12" s="105">
        <v>0.32</v>
      </c>
      <c r="K12" s="40" t="s">
        <v>580</v>
      </c>
      <c r="L12" s="117">
        <f t="shared" si="1"/>
        <v>156.25</v>
      </c>
      <c r="M12" s="117"/>
      <c r="N12" s="106" t="s">
        <v>59</v>
      </c>
      <c r="O12" s="106" t="s">
        <v>38</v>
      </c>
      <c r="P12" s="106"/>
      <c r="Q12" s="107" t="s">
        <v>586</v>
      </c>
      <c r="R12" s="106"/>
      <c r="S12" s="107">
        <v>1</v>
      </c>
      <c r="T12" s="107">
        <v>9</v>
      </c>
      <c r="U12" s="107">
        <v>10</v>
      </c>
      <c r="V12" s="107">
        <v>4.1300000000000003E-2</v>
      </c>
      <c r="W12" s="113">
        <f t="shared" si="2"/>
        <v>4.13E-3</v>
      </c>
      <c r="X12" s="107">
        <v>15</v>
      </c>
      <c r="Y12" s="99">
        <f t="shared" si="0"/>
        <v>3631.9612590799029</v>
      </c>
      <c r="Z12" s="99">
        <v>80</v>
      </c>
      <c r="AA12" s="108">
        <f>Z12*V12/U12</f>
        <v>0.33040000000000003</v>
      </c>
      <c r="AB12" s="108">
        <f>(300*V12)/U12</f>
        <v>1.2390000000000001</v>
      </c>
      <c r="AC12" s="106" t="s">
        <v>587</v>
      </c>
      <c r="AD12" s="110"/>
      <c r="AE12" s="110"/>
      <c r="AF12" s="109"/>
      <c r="AG12" s="109"/>
      <c r="AH12" s="109"/>
      <c r="AI12" s="109"/>
      <c r="AJ12" s="109" t="s">
        <v>588</v>
      </c>
      <c r="AK12" s="101"/>
      <c r="AL12" s="101"/>
      <c r="AM12" s="101"/>
      <c r="AN12" s="101"/>
    </row>
    <row r="13" spans="1:40" ht="16.5" customHeight="1" x14ac:dyDescent="0.3">
      <c r="A13" s="102" t="s">
        <v>38</v>
      </c>
      <c r="B13" s="102"/>
      <c r="C13" s="102"/>
      <c r="D13" s="122" t="s">
        <v>589</v>
      </c>
      <c r="E13" s="104" t="s">
        <v>41</v>
      </c>
      <c r="F13" s="40" t="s">
        <v>40</v>
      </c>
      <c r="G13" s="40"/>
      <c r="H13" s="40" t="s">
        <v>544</v>
      </c>
      <c r="I13" s="40" t="s">
        <v>16</v>
      </c>
      <c r="J13" s="105">
        <v>1</v>
      </c>
      <c r="K13" s="40" t="s">
        <v>580</v>
      </c>
      <c r="L13" s="117">
        <f t="shared" si="1"/>
        <v>50</v>
      </c>
      <c r="M13" s="117"/>
      <c r="N13" s="106"/>
      <c r="O13" s="106" t="s">
        <v>38</v>
      </c>
      <c r="P13" s="106"/>
      <c r="Q13" s="107" t="s">
        <v>590</v>
      </c>
      <c r="R13" s="106"/>
      <c r="S13" s="107">
        <v>1</v>
      </c>
      <c r="T13" s="107">
        <v>8</v>
      </c>
      <c r="U13" s="107">
        <v>1000</v>
      </c>
      <c r="V13" s="107">
        <v>4.1180000000000003</v>
      </c>
      <c r="W13" s="107"/>
      <c r="X13" s="107">
        <v>4.1180000000000003</v>
      </c>
      <c r="Y13" s="99">
        <f t="shared" si="0"/>
        <v>999.99999999999989</v>
      </c>
      <c r="Z13" s="99">
        <v>15</v>
      </c>
      <c r="AA13" s="108">
        <f>Z13*V13/U13</f>
        <v>6.1770000000000005E-2</v>
      </c>
      <c r="AB13" s="108">
        <f>(50*V13)/U13</f>
        <v>0.2059</v>
      </c>
      <c r="AC13" s="106"/>
      <c r="AD13" s="110" t="s">
        <v>591</v>
      </c>
      <c r="AE13" s="110"/>
      <c r="AF13" s="109" t="s">
        <v>59</v>
      </c>
      <c r="AG13" s="109" t="s">
        <v>592</v>
      </c>
      <c r="AH13" s="109" t="s">
        <v>593</v>
      </c>
      <c r="AI13" s="109" t="s">
        <v>594</v>
      </c>
      <c r="AJ13" s="109" t="s">
        <v>595</v>
      </c>
    </row>
    <row r="14" spans="1:40" ht="16.5" customHeight="1" x14ac:dyDescent="0.3">
      <c r="A14" s="102" t="s">
        <v>38</v>
      </c>
      <c r="B14" s="112" t="s">
        <v>16</v>
      </c>
      <c r="C14" s="102" t="s">
        <v>553</v>
      </c>
      <c r="D14" s="116" t="s">
        <v>87</v>
      </c>
      <c r="E14" s="104" t="s">
        <v>41</v>
      </c>
      <c r="F14" s="40" t="s">
        <v>40</v>
      </c>
      <c r="G14" s="40"/>
      <c r="H14" s="40" t="s">
        <v>567</v>
      </c>
      <c r="I14" s="40" t="s">
        <v>16</v>
      </c>
      <c r="J14" s="105">
        <v>0.64</v>
      </c>
      <c r="K14" s="40" t="s">
        <v>580</v>
      </c>
      <c r="L14" s="117">
        <f t="shared" si="1"/>
        <v>78.125</v>
      </c>
      <c r="M14" s="117"/>
      <c r="N14" s="123">
        <v>2020</v>
      </c>
      <c r="O14" s="123" t="s">
        <v>596</v>
      </c>
      <c r="P14" s="123"/>
      <c r="Q14" s="118" t="s">
        <v>570</v>
      </c>
      <c r="R14" s="119"/>
      <c r="S14" s="124"/>
      <c r="T14" s="124">
        <v>10</v>
      </c>
      <c r="U14" s="124">
        <v>10</v>
      </c>
      <c r="V14" s="124">
        <v>2.07E-2</v>
      </c>
      <c r="W14" s="113">
        <f>V14/U14</f>
        <v>2.0699999999999998E-3</v>
      </c>
      <c r="X14" s="124">
        <v>20.636500000000002</v>
      </c>
      <c r="Y14" s="99">
        <f t="shared" si="0"/>
        <v>9969.3236714975847</v>
      </c>
      <c r="Z14" s="99">
        <v>80</v>
      </c>
      <c r="AA14" s="108">
        <f>Z14*V14/U14</f>
        <v>0.1656</v>
      </c>
      <c r="AB14" s="108"/>
      <c r="AC14" s="123"/>
      <c r="AD14" s="109" t="s">
        <v>560</v>
      </c>
      <c r="AE14" s="109"/>
      <c r="AF14" s="109">
        <v>2016</v>
      </c>
      <c r="AG14" s="109" t="s">
        <v>592</v>
      </c>
      <c r="AH14" s="109" t="s">
        <v>597</v>
      </c>
      <c r="AI14" s="125" t="s">
        <v>598</v>
      </c>
      <c r="AJ14" s="125" t="s">
        <v>599</v>
      </c>
    </row>
    <row r="15" spans="1:40" ht="16.5" customHeight="1" x14ac:dyDescent="0.3">
      <c r="A15" s="9" t="s">
        <v>539</v>
      </c>
      <c r="B15" s="36" t="s">
        <v>16</v>
      </c>
      <c r="C15" s="36" t="s">
        <v>226</v>
      </c>
      <c r="D15" s="95" t="s">
        <v>600</v>
      </c>
      <c r="E15" s="96" t="s">
        <v>101</v>
      </c>
      <c r="F15" s="9" t="s">
        <v>45</v>
      </c>
      <c r="G15" s="9"/>
      <c r="H15" s="9" t="s">
        <v>601</v>
      </c>
      <c r="I15" s="9" t="s">
        <v>89</v>
      </c>
      <c r="J15" s="11">
        <v>0</v>
      </c>
      <c r="K15" s="40" t="s">
        <v>262</v>
      </c>
      <c r="L15" s="40" t="e">
        <f t="shared" si="1"/>
        <v>#DIV/0!</v>
      </c>
      <c r="M15" s="40"/>
      <c r="N15" s="98">
        <v>2019</v>
      </c>
      <c r="O15" s="98"/>
      <c r="P15" s="98"/>
      <c r="Q15" s="39"/>
      <c r="R15" s="98"/>
      <c r="S15" s="39"/>
      <c r="T15" s="39">
        <v>46</v>
      </c>
      <c r="U15" s="39">
        <v>20</v>
      </c>
      <c r="V15" s="39">
        <v>0.70569999999999999</v>
      </c>
      <c r="W15" s="113">
        <f>V15/U15</f>
        <v>3.5284999999999997E-2</v>
      </c>
      <c r="X15" s="39">
        <v>15.331899999999999</v>
      </c>
      <c r="Y15" s="99">
        <f t="shared" si="0"/>
        <v>434.51608332152472</v>
      </c>
      <c r="Z15" s="39"/>
      <c r="AA15" s="39"/>
      <c r="AB15" s="39"/>
      <c r="AC15" s="98"/>
      <c r="AD15" s="100"/>
      <c r="AE15" s="100"/>
      <c r="AF15" s="100"/>
      <c r="AG15" s="100"/>
      <c r="AH15" s="100"/>
      <c r="AI15" s="100"/>
      <c r="AJ15" s="100"/>
    </row>
    <row r="16" spans="1:40" ht="16.5" customHeight="1" x14ac:dyDescent="0.3">
      <c r="A16" s="102" t="s">
        <v>539</v>
      </c>
      <c r="B16" s="102"/>
      <c r="C16" s="102"/>
      <c r="D16" s="103" t="s">
        <v>602</v>
      </c>
      <c r="E16" s="104" t="s">
        <v>41</v>
      </c>
      <c r="F16" s="40" t="s">
        <v>40</v>
      </c>
      <c r="G16" s="40"/>
      <c r="H16" s="40"/>
      <c r="I16" s="40"/>
      <c r="J16" s="126"/>
      <c r="K16" s="40"/>
      <c r="L16" s="40"/>
      <c r="M16" s="40"/>
      <c r="N16" s="106">
        <v>2018</v>
      </c>
      <c r="O16" s="106" t="s">
        <v>38</v>
      </c>
      <c r="P16" s="106"/>
      <c r="Q16" s="107"/>
      <c r="R16" s="106"/>
      <c r="S16" s="107">
        <v>1</v>
      </c>
      <c r="T16" s="107">
        <v>11</v>
      </c>
      <c r="U16" s="107">
        <v>10</v>
      </c>
      <c r="V16" s="107">
        <v>0.21510000000000001</v>
      </c>
      <c r="W16" s="107"/>
      <c r="X16" s="107">
        <v>8.8970000000000002</v>
      </c>
      <c r="Y16" s="99">
        <f t="shared" si="0"/>
        <v>413.62157136215711</v>
      </c>
      <c r="Z16" s="99">
        <v>43</v>
      </c>
      <c r="AA16" s="108">
        <f>Z16*V16/U16</f>
        <v>0.92493000000000003</v>
      </c>
      <c r="AB16" s="108">
        <f>(50*V16)/U16</f>
        <v>1.0755000000000001</v>
      </c>
      <c r="AC16" s="106" t="s">
        <v>603</v>
      </c>
      <c r="AD16" s="109"/>
      <c r="AE16" s="109"/>
      <c r="AF16" s="109"/>
      <c r="AG16" s="109"/>
      <c r="AH16" s="109"/>
      <c r="AI16" s="109"/>
      <c r="AJ16" s="109" t="s">
        <v>604</v>
      </c>
      <c r="AK16" s="101"/>
      <c r="AL16" s="101"/>
      <c r="AM16" s="101"/>
      <c r="AN16" s="101"/>
    </row>
    <row r="17" spans="1:40" ht="16.5" customHeight="1" x14ac:dyDescent="0.3">
      <c r="A17" s="102" t="s">
        <v>38</v>
      </c>
      <c r="B17" s="112" t="s">
        <v>605</v>
      </c>
      <c r="C17" s="102" t="s">
        <v>173</v>
      </c>
      <c r="D17" s="116" t="s">
        <v>606</v>
      </c>
      <c r="E17" s="104" t="s">
        <v>25</v>
      </c>
      <c r="F17" s="40" t="s">
        <v>24</v>
      </c>
      <c r="G17" s="40"/>
      <c r="H17" s="40" t="s">
        <v>567</v>
      </c>
      <c r="I17" s="40" t="s">
        <v>16</v>
      </c>
      <c r="J17" s="105">
        <v>0.82</v>
      </c>
      <c r="K17" s="40" t="s">
        <v>580</v>
      </c>
      <c r="L17" s="117">
        <f>50/J17</f>
        <v>60.975609756097562</v>
      </c>
      <c r="M17" s="117"/>
      <c r="N17" s="106">
        <v>2017</v>
      </c>
      <c r="O17" s="106" t="s">
        <v>38</v>
      </c>
      <c r="P17" s="106"/>
      <c r="Q17" s="107"/>
      <c r="R17" s="106"/>
      <c r="S17" s="107">
        <v>2</v>
      </c>
      <c r="T17" s="107">
        <v>12</v>
      </c>
      <c r="U17" s="107">
        <v>19</v>
      </c>
      <c r="V17" s="107">
        <v>1.7299999999999999E-2</v>
      </c>
      <c r="W17" s="113">
        <f>V17/U17</f>
        <v>9.1052631578947361E-4</v>
      </c>
      <c r="X17" s="107">
        <f>34.9823*2</f>
        <v>69.964600000000004</v>
      </c>
      <c r="Y17" s="99">
        <f t="shared" si="0"/>
        <v>76839.734104046249</v>
      </c>
      <c r="Z17" s="99">
        <v>80</v>
      </c>
      <c r="AA17" s="108">
        <f>Z17*V17/U17</f>
        <v>7.2842105263157889E-2</v>
      </c>
      <c r="AB17" s="108">
        <f>(300*V17)/U17</f>
        <v>0.2731578947368421</v>
      </c>
      <c r="AC17" s="106" t="s">
        <v>607</v>
      </c>
      <c r="AD17" s="109"/>
      <c r="AE17" s="109"/>
      <c r="AF17" s="109"/>
      <c r="AG17" s="109"/>
      <c r="AH17" s="109" t="s">
        <v>597</v>
      </c>
      <c r="AI17" s="109" t="s">
        <v>608</v>
      </c>
      <c r="AJ17" s="109" t="s">
        <v>609</v>
      </c>
      <c r="AK17" s="101"/>
      <c r="AL17" s="101"/>
      <c r="AM17" s="101"/>
      <c r="AN17" s="101"/>
    </row>
    <row r="18" spans="1:40" ht="16.5" customHeight="1" x14ac:dyDescent="0.3">
      <c r="A18" s="9"/>
      <c r="B18" s="36" t="s">
        <v>16</v>
      </c>
      <c r="C18" s="36" t="s">
        <v>553</v>
      </c>
      <c r="D18" s="95" t="s">
        <v>610</v>
      </c>
      <c r="E18" s="104" t="s">
        <v>25</v>
      </c>
      <c r="F18" s="40" t="s">
        <v>24</v>
      </c>
      <c r="G18" s="9"/>
      <c r="H18" s="9" t="s">
        <v>611</v>
      </c>
      <c r="I18" s="9" t="s">
        <v>16</v>
      </c>
      <c r="J18" s="11">
        <v>0.96</v>
      </c>
      <c r="K18" s="9"/>
      <c r="L18" s="9"/>
      <c r="M18" s="9"/>
      <c r="N18" s="98"/>
      <c r="O18" s="98"/>
      <c r="P18" s="98"/>
      <c r="Q18" s="39"/>
      <c r="R18" s="98"/>
      <c r="S18" s="39"/>
      <c r="T18" s="39">
        <v>53</v>
      </c>
      <c r="U18" s="39">
        <v>9</v>
      </c>
      <c r="V18" s="39">
        <v>1.0699999999999999E-2</v>
      </c>
      <c r="W18" s="113">
        <f>V18/U18</f>
        <v>1.1888888888888889E-3</v>
      </c>
      <c r="X18" s="39">
        <v>2.9500999999999999</v>
      </c>
      <c r="Y18" s="99">
        <f t="shared" si="0"/>
        <v>2481.3925233644859</v>
      </c>
      <c r="Z18" s="39"/>
      <c r="AA18" s="39"/>
      <c r="AB18" s="39"/>
      <c r="AC18" s="98"/>
      <c r="AD18" s="100"/>
      <c r="AE18" s="100"/>
      <c r="AF18" s="100"/>
      <c r="AG18" s="100"/>
      <c r="AH18" s="100"/>
      <c r="AI18" s="100"/>
      <c r="AJ18" s="100"/>
      <c r="AK18" s="101"/>
      <c r="AL18" s="101"/>
      <c r="AM18" s="101"/>
      <c r="AN18" s="101"/>
    </row>
    <row r="19" spans="1:40" ht="16.5" customHeight="1" x14ac:dyDescent="0.3">
      <c r="A19" s="102" t="s">
        <v>38</v>
      </c>
      <c r="B19" s="112" t="s">
        <v>605</v>
      </c>
      <c r="C19" s="102" t="s">
        <v>173</v>
      </c>
      <c r="D19" s="116" t="s">
        <v>90</v>
      </c>
      <c r="E19" s="104" t="s">
        <v>25</v>
      </c>
      <c r="F19" s="40" t="s">
        <v>24</v>
      </c>
      <c r="G19" s="40"/>
      <c r="H19" s="40" t="s">
        <v>567</v>
      </c>
      <c r="I19" s="40" t="s">
        <v>16</v>
      </c>
      <c r="J19" s="105">
        <v>0.68</v>
      </c>
      <c r="K19" s="40" t="s">
        <v>580</v>
      </c>
      <c r="L19" s="117">
        <f>50/J19</f>
        <v>73.529411764705884</v>
      </c>
      <c r="M19" s="117"/>
      <c r="N19" s="106">
        <v>2016</v>
      </c>
      <c r="O19" s="106" t="s">
        <v>38</v>
      </c>
      <c r="P19" s="106"/>
      <c r="Q19" s="107"/>
      <c r="R19" s="106"/>
      <c r="S19" s="107">
        <v>2</v>
      </c>
      <c r="T19" s="107">
        <v>13</v>
      </c>
      <c r="U19" s="107">
        <v>15</v>
      </c>
      <c r="V19" s="107">
        <v>2E-3</v>
      </c>
      <c r="W19" s="113">
        <f>V19/U19</f>
        <v>1.3333333333333334E-4</v>
      </c>
      <c r="X19" s="107">
        <f>19.2033*2</f>
        <v>38.406599999999997</v>
      </c>
      <c r="Y19" s="99">
        <f t="shared" si="0"/>
        <v>288049.49999999994</v>
      </c>
      <c r="Z19" s="99">
        <v>80</v>
      </c>
      <c r="AA19" s="108">
        <f>Z19*V19/U19</f>
        <v>1.0666666666666666E-2</v>
      </c>
      <c r="AB19" s="108">
        <f>(300*V19)/U19</f>
        <v>0.04</v>
      </c>
      <c r="AC19" s="106" t="s">
        <v>612</v>
      </c>
      <c r="AD19" s="109" t="s">
        <v>613</v>
      </c>
      <c r="AE19" s="109"/>
      <c r="AF19" s="109">
        <v>2016</v>
      </c>
      <c r="AG19" s="109"/>
      <c r="AH19" s="109" t="s">
        <v>593</v>
      </c>
      <c r="AI19" s="109" t="s">
        <v>614</v>
      </c>
      <c r="AJ19" s="109" t="s">
        <v>615</v>
      </c>
      <c r="AK19" s="101"/>
      <c r="AL19" s="101"/>
      <c r="AM19" s="101"/>
      <c r="AN19" s="101"/>
    </row>
    <row r="20" spans="1:40" ht="16.5" customHeight="1" x14ac:dyDescent="0.3">
      <c r="A20" s="102" t="s">
        <v>38</v>
      </c>
      <c r="B20" s="112" t="s">
        <v>89</v>
      </c>
      <c r="C20" s="102"/>
      <c r="D20" s="103" t="s">
        <v>616</v>
      </c>
      <c r="E20" s="104" t="s">
        <v>29</v>
      </c>
      <c r="F20" s="40" t="s">
        <v>24</v>
      </c>
      <c r="G20" s="40"/>
      <c r="H20" s="40" t="s">
        <v>567</v>
      </c>
      <c r="I20" s="40" t="s">
        <v>89</v>
      </c>
      <c r="J20" s="105">
        <v>0.06</v>
      </c>
      <c r="K20" s="40" t="s">
        <v>262</v>
      </c>
      <c r="L20" s="117">
        <f>50/J20</f>
        <v>833.33333333333337</v>
      </c>
      <c r="M20" s="117"/>
      <c r="N20" s="106">
        <v>2019</v>
      </c>
      <c r="O20" s="106" t="s">
        <v>38</v>
      </c>
      <c r="P20" s="106"/>
      <c r="Q20" s="107"/>
      <c r="R20" s="106"/>
      <c r="S20" s="107">
        <v>1</v>
      </c>
      <c r="T20" s="107">
        <v>14</v>
      </c>
      <c r="U20" s="107">
        <v>9</v>
      </c>
      <c r="V20" s="107">
        <v>4.1999999999999997E-3</v>
      </c>
      <c r="W20" s="107"/>
      <c r="X20" s="107">
        <v>3.0716000000000001</v>
      </c>
      <c r="Y20" s="99">
        <f t="shared" si="0"/>
        <v>6582.0000000000009</v>
      </c>
      <c r="Z20" s="99">
        <v>80</v>
      </c>
      <c r="AA20" s="108">
        <f>Z20*V20/U20</f>
        <v>3.7333333333333329E-2</v>
      </c>
      <c r="AB20" s="108">
        <f>(300*V20)/U20</f>
        <v>0.14000000000000001</v>
      </c>
      <c r="AC20" s="106" t="s">
        <v>617</v>
      </c>
      <c r="AD20" s="109" t="s">
        <v>560</v>
      </c>
      <c r="AE20" s="109"/>
      <c r="AF20" s="109">
        <v>2019</v>
      </c>
      <c r="AG20" s="109" t="s">
        <v>592</v>
      </c>
      <c r="AH20" s="110" t="s">
        <v>548</v>
      </c>
      <c r="AI20" s="109" t="s">
        <v>618</v>
      </c>
      <c r="AJ20" s="109" t="s">
        <v>619</v>
      </c>
      <c r="AK20" s="101"/>
      <c r="AL20" s="101"/>
      <c r="AM20" s="101"/>
      <c r="AN20" s="101"/>
    </row>
    <row r="21" spans="1:40" ht="16.5" customHeight="1" x14ac:dyDescent="0.3">
      <c r="A21" s="9" t="s">
        <v>539</v>
      </c>
      <c r="B21" s="36" t="s">
        <v>89</v>
      </c>
      <c r="C21" s="36"/>
      <c r="D21" s="95" t="s">
        <v>620</v>
      </c>
      <c r="E21" s="104" t="s">
        <v>29</v>
      </c>
      <c r="F21" s="40" t="s">
        <v>24</v>
      </c>
      <c r="G21" s="9"/>
      <c r="H21" s="9" t="s">
        <v>621</v>
      </c>
      <c r="I21" s="9" t="s">
        <v>89</v>
      </c>
      <c r="J21" s="11">
        <v>0</v>
      </c>
      <c r="K21" s="40" t="s">
        <v>262</v>
      </c>
      <c r="L21" s="40" t="e">
        <f>50/J21</f>
        <v>#DIV/0!</v>
      </c>
      <c r="M21" s="40"/>
      <c r="N21" s="98" t="s">
        <v>59</v>
      </c>
      <c r="O21" s="98"/>
      <c r="P21" s="98"/>
      <c r="Q21" s="39"/>
      <c r="R21" s="98"/>
      <c r="S21" s="39"/>
      <c r="T21" s="39">
        <v>43</v>
      </c>
      <c r="U21" s="39">
        <v>12</v>
      </c>
      <c r="V21" s="39">
        <v>3.0000000000000001E-3</v>
      </c>
      <c r="W21" s="39"/>
      <c r="X21" s="39">
        <v>0.46139999999999998</v>
      </c>
      <c r="Y21" s="99">
        <f t="shared" si="0"/>
        <v>1845.5999999999997</v>
      </c>
      <c r="Z21" s="39"/>
      <c r="AA21" s="39"/>
      <c r="AB21" s="39"/>
      <c r="AC21" s="98"/>
      <c r="AD21" s="100"/>
      <c r="AE21" s="100"/>
      <c r="AF21" s="100"/>
      <c r="AG21" s="100"/>
      <c r="AH21" s="100"/>
      <c r="AI21" s="100"/>
      <c r="AJ21" s="100"/>
      <c r="AK21" s="101"/>
      <c r="AL21" s="101"/>
      <c r="AM21" s="101"/>
      <c r="AN21" s="101"/>
    </row>
    <row r="22" spans="1:40" ht="16.5" customHeight="1" x14ac:dyDescent="0.3">
      <c r="A22" s="9" t="s">
        <v>539</v>
      </c>
      <c r="B22" s="33"/>
      <c r="C22" s="33"/>
      <c r="D22" s="95" t="s">
        <v>622</v>
      </c>
      <c r="E22" s="96" t="s">
        <v>623</v>
      </c>
      <c r="F22" s="9" t="s">
        <v>40</v>
      </c>
      <c r="G22" s="9"/>
      <c r="H22" s="9" t="s">
        <v>558</v>
      </c>
      <c r="I22" s="9" t="s">
        <v>89</v>
      </c>
      <c r="J22" s="11">
        <v>0</v>
      </c>
      <c r="K22" s="40" t="s">
        <v>262</v>
      </c>
      <c r="L22" s="40" t="e">
        <f>50/J22</f>
        <v>#DIV/0!</v>
      </c>
      <c r="M22" s="40"/>
      <c r="N22" s="98" t="s">
        <v>59</v>
      </c>
      <c r="O22" s="98"/>
      <c r="P22" s="98"/>
      <c r="Q22" s="39"/>
      <c r="R22" s="98"/>
      <c r="S22" s="39"/>
      <c r="T22" s="39">
        <v>51</v>
      </c>
      <c r="U22" s="39">
        <v>25</v>
      </c>
      <c r="V22" s="39">
        <v>1.2999999999999999E-3</v>
      </c>
      <c r="W22" s="39"/>
      <c r="X22" s="39">
        <v>1.1851</v>
      </c>
      <c r="Y22" s="99">
        <f t="shared" si="0"/>
        <v>22790.384615384617</v>
      </c>
      <c r="Z22" s="39"/>
      <c r="AA22" s="39"/>
      <c r="AB22" s="39"/>
      <c r="AC22" s="98"/>
      <c r="AD22" s="100"/>
      <c r="AE22" s="100"/>
      <c r="AF22" s="100"/>
      <c r="AG22" s="100"/>
      <c r="AH22" s="100"/>
      <c r="AI22" s="100"/>
      <c r="AJ22" s="100"/>
      <c r="AK22" s="101"/>
      <c r="AL22" s="101"/>
      <c r="AM22" s="101"/>
      <c r="AN22" s="101"/>
    </row>
    <row r="23" spans="1:40" ht="16.5" customHeight="1" x14ac:dyDescent="0.3">
      <c r="A23" s="9" t="s">
        <v>539</v>
      </c>
      <c r="B23" s="33"/>
      <c r="C23" s="33"/>
      <c r="D23" s="95" t="s">
        <v>624</v>
      </c>
      <c r="E23" s="96" t="s">
        <v>625</v>
      </c>
      <c r="F23" s="9" t="s">
        <v>19</v>
      </c>
      <c r="G23" s="9"/>
      <c r="H23" s="9" t="s">
        <v>558</v>
      </c>
      <c r="I23" s="9" t="s">
        <v>89</v>
      </c>
      <c r="J23" s="11">
        <v>0</v>
      </c>
      <c r="K23" s="9" t="s">
        <v>262</v>
      </c>
      <c r="L23" s="40" t="e">
        <f>50/J23</f>
        <v>#DIV/0!</v>
      </c>
      <c r="M23" s="40"/>
      <c r="N23" s="98" t="s">
        <v>59</v>
      </c>
      <c r="O23" s="98"/>
      <c r="P23" s="98"/>
      <c r="Q23" s="39"/>
      <c r="R23" s="98"/>
      <c r="S23" s="39"/>
      <c r="T23" s="39">
        <v>45</v>
      </c>
      <c r="U23" s="39">
        <v>8</v>
      </c>
      <c r="V23" s="39">
        <v>7.4000000000000003E-3</v>
      </c>
      <c r="W23" s="39"/>
      <c r="X23" s="39">
        <v>0.69320000000000004</v>
      </c>
      <c r="Y23" s="99">
        <f t="shared" si="0"/>
        <v>749.40540540540542</v>
      </c>
      <c r="Z23" s="39"/>
      <c r="AA23" s="39"/>
      <c r="AB23" s="39"/>
      <c r="AC23" s="98"/>
      <c r="AD23" s="100"/>
      <c r="AE23" s="100"/>
      <c r="AF23" s="100"/>
      <c r="AG23" s="100"/>
      <c r="AH23" s="100"/>
      <c r="AI23" s="100"/>
      <c r="AJ23" s="100"/>
      <c r="AK23" s="101"/>
      <c r="AL23" s="101"/>
      <c r="AM23" s="101"/>
      <c r="AN23" s="101"/>
    </row>
    <row r="24" spans="1:40" ht="16.5" customHeight="1" x14ac:dyDescent="0.3">
      <c r="A24" s="9"/>
      <c r="B24" s="33"/>
      <c r="C24" s="33"/>
      <c r="D24" s="111" t="s">
        <v>626</v>
      </c>
      <c r="E24" s="104" t="s">
        <v>72</v>
      </c>
      <c r="F24" s="40" t="s">
        <v>627</v>
      </c>
      <c r="G24" s="9"/>
      <c r="H24" s="9"/>
      <c r="I24" s="9"/>
      <c r="J24" s="9"/>
      <c r="K24" s="9"/>
      <c r="L24" s="9"/>
      <c r="M24" s="9"/>
      <c r="N24" s="98"/>
      <c r="O24" s="98"/>
      <c r="P24" s="98"/>
      <c r="Q24" s="39"/>
      <c r="R24" s="98"/>
      <c r="S24" s="39" t="s">
        <v>628</v>
      </c>
      <c r="T24" s="39">
        <v>54</v>
      </c>
      <c r="U24" s="39"/>
      <c r="V24" s="39"/>
      <c r="W24" s="39"/>
      <c r="X24" s="39"/>
      <c r="Y24" s="39"/>
      <c r="Z24" s="39"/>
      <c r="AA24" s="39"/>
      <c r="AB24" s="39"/>
      <c r="AC24" s="98"/>
      <c r="AD24" s="100"/>
      <c r="AE24" s="100"/>
      <c r="AF24" s="100"/>
      <c r="AG24" s="100"/>
      <c r="AH24" s="100"/>
      <c r="AI24" s="100"/>
      <c r="AJ24" s="100"/>
      <c r="AK24" s="101"/>
      <c r="AL24" s="101"/>
      <c r="AM24" s="101"/>
      <c r="AN24" s="101"/>
    </row>
    <row r="25" spans="1:40" ht="16.5" customHeight="1" x14ac:dyDescent="0.3">
      <c r="A25" s="102" t="s">
        <v>38</v>
      </c>
      <c r="B25" s="112" t="s">
        <v>16</v>
      </c>
      <c r="C25" s="102" t="s">
        <v>226</v>
      </c>
      <c r="D25" s="103" t="s">
        <v>71</v>
      </c>
      <c r="E25" s="104" t="s">
        <v>72</v>
      </c>
      <c r="F25" s="40" t="s">
        <v>19</v>
      </c>
      <c r="G25" s="40"/>
      <c r="H25" s="40" t="s">
        <v>629</v>
      </c>
      <c r="I25" s="40" t="s">
        <v>16</v>
      </c>
      <c r="J25" s="105">
        <v>0.85</v>
      </c>
      <c r="K25" s="40" t="s">
        <v>580</v>
      </c>
      <c r="L25" s="117">
        <f>50/J25</f>
        <v>58.82352941176471</v>
      </c>
      <c r="M25" s="117"/>
      <c r="N25" s="106">
        <v>2020</v>
      </c>
      <c r="O25" s="106" t="s">
        <v>596</v>
      </c>
      <c r="P25" s="106"/>
      <c r="Q25" s="118" t="s">
        <v>570</v>
      </c>
      <c r="R25" s="127" t="s">
        <v>630</v>
      </c>
      <c r="S25" s="107">
        <v>1</v>
      </c>
      <c r="T25" s="107">
        <v>15</v>
      </c>
      <c r="U25" s="107">
        <v>10</v>
      </c>
      <c r="V25" s="107">
        <v>4.4000000000000003E-3</v>
      </c>
      <c r="W25" s="113">
        <f>V25/U25</f>
        <v>4.4000000000000002E-4</v>
      </c>
      <c r="X25" s="107">
        <v>0.66930000000000001</v>
      </c>
      <c r="Y25" s="99">
        <f>(X25*U25)/V25</f>
        <v>1521.1363636363635</v>
      </c>
      <c r="Z25" s="99">
        <v>45</v>
      </c>
      <c r="AA25" s="108">
        <f>Z25*V25/U25</f>
        <v>1.9800000000000002E-2</v>
      </c>
      <c r="AB25" s="108"/>
      <c r="AC25" s="106" t="s">
        <v>631</v>
      </c>
      <c r="AD25" s="109" t="s">
        <v>546</v>
      </c>
      <c r="AE25" s="109"/>
      <c r="AF25" s="109" t="s">
        <v>59</v>
      </c>
      <c r="AG25" s="109" t="s">
        <v>547</v>
      </c>
      <c r="AH25" s="109" t="s">
        <v>593</v>
      </c>
      <c r="AI25" s="109" t="s">
        <v>594</v>
      </c>
      <c r="AJ25" s="109" t="s">
        <v>632</v>
      </c>
      <c r="AK25" s="101"/>
      <c r="AL25" s="101"/>
      <c r="AM25" s="101"/>
      <c r="AN25" s="101"/>
    </row>
    <row r="26" spans="1:40" ht="16.5" customHeight="1" x14ac:dyDescent="0.3">
      <c r="A26" s="102" t="s">
        <v>38</v>
      </c>
      <c r="B26" s="102"/>
      <c r="C26" s="102"/>
      <c r="D26" s="103" t="s">
        <v>633</v>
      </c>
      <c r="E26" s="104" t="s">
        <v>29</v>
      </c>
      <c r="F26" s="40" t="s">
        <v>24</v>
      </c>
      <c r="G26" s="40"/>
      <c r="H26" s="40" t="s">
        <v>629</v>
      </c>
      <c r="I26" s="40" t="s">
        <v>89</v>
      </c>
      <c r="J26" s="105">
        <v>0</v>
      </c>
      <c r="K26" s="40" t="s">
        <v>262</v>
      </c>
      <c r="L26" s="40" t="e">
        <f>50/J26</f>
        <v>#DIV/0!</v>
      </c>
      <c r="M26" s="40"/>
      <c r="N26" s="106">
        <v>2020</v>
      </c>
      <c r="O26" s="106" t="s">
        <v>596</v>
      </c>
      <c r="P26" s="106"/>
      <c r="Q26" s="118" t="s">
        <v>570</v>
      </c>
      <c r="R26" s="119"/>
      <c r="S26" s="107">
        <v>1</v>
      </c>
      <c r="T26" s="107">
        <v>16</v>
      </c>
      <c r="U26" s="107">
        <v>18</v>
      </c>
      <c r="V26" s="107">
        <v>6.8999999999999999E-3</v>
      </c>
      <c r="W26" s="107"/>
      <c r="X26" s="107">
        <v>0.42759999999999998</v>
      </c>
      <c r="Y26" s="99">
        <f>(X26*U26)/V26</f>
        <v>1115.4782608695652</v>
      </c>
      <c r="Z26" s="99">
        <v>45</v>
      </c>
      <c r="AA26" s="108">
        <f>Z26*V26/U26</f>
        <v>1.7250000000000001E-2</v>
      </c>
      <c r="AB26" s="108"/>
      <c r="AC26" s="106" t="s">
        <v>634</v>
      </c>
      <c r="AD26" s="109" t="s">
        <v>560</v>
      </c>
      <c r="AE26" s="109"/>
      <c r="AF26" s="109">
        <v>2019</v>
      </c>
      <c r="AG26" s="109" t="s">
        <v>547</v>
      </c>
      <c r="AH26" s="110" t="s">
        <v>548</v>
      </c>
      <c r="AI26" s="109" t="s">
        <v>573</v>
      </c>
      <c r="AJ26" s="109" t="s">
        <v>635</v>
      </c>
      <c r="AK26" s="128"/>
      <c r="AL26" s="128"/>
      <c r="AM26" s="128"/>
      <c r="AN26" s="128"/>
    </row>
    <row r="27" spans="1:40" ht="16.5" customHeight="1" x14ac:dyDescent="0.3">
      <c r="A27" s="129" t="s">
        <v>539</v>
      </c>
      <c r="B27" s="129"/>
      <c r="C27" s="129"/>
      <c r="D27" s="103" t="s">
        <v>636</v>
      </c>
      <c r="E27" s="104" t="s">
        <v>41</v>
      </c>
      <c r="F27" s="40" t="s">
        <v>40</v>
      </c>
      <c r="G27" s="40"/>
      <c r="H27" s="40"/>
      <c r="I27" s="40"/>
      <c r="J27" s="126"/>
      <c r="K27" s="40"/>
      <c r="L27" s="40"/>
      <c r="M27" s="40"/>
      <c r="N27" s="130">
        <v>2020</v>
      </c>
      <c r="O27" s="130" t="s">
        <v>539</v>
      </c>
      <c r="P27" s="130"/>
      <c r="Q27" s="131" t="s">
        <v>570</v>
      </c>
      <c r="R27" s="132" t="s">
        <v>637</v>
      </c>
      <c r="S27" s="133"/>
      <c r="T27" s="133">
        <v>17</v>
      </c>
      <c r="U27" s="133">
        <v>0</v>
      </c>
      <c r="V27" s="133">
        <v>0</v>
      </c>
      <c r="W27" s="133"/>
      <c r="X27" s="133">
        <v>0</v>
      </c>
      <c r="Y27" s="99">
        <v>0</v>
      </c>
      <c r="Z27" s="134">
        <v>80</v>
      </c>
      <c r="AA27" s="135" t="e">
        <f>Z27*V27/U27</f>
        <v>#DIV/0!</v>
      </c>
      <c r="AB27" s="135"/>
      <c r="AC27" s="130" t="s">
        <v>638</v>
      </c>
      <c r="AD27" s="136"/>
      <c r="AE27" s="136"/>
      <c r="AF27" s="136"/>
      <c r="AG27" s="136"/>
      <c r="AH27" s="136"/>
      <c r="AI27" s="136"/>
      <c r="AJ27" s="136" t="s">
        <v>639</v>
      </c>
      <c r="AK27" s="101"/>
      <c r="AL27" s="101"/>
      <c r="AM27" s="101"/>
      <c r="AN27" s="101"/>
    </row>
    <row r="28" spans="1:40" ht="16.5" customHeight="1" x14ac:dyDescent="0.3">
      <c r="A28" s="137" t="s">
        <v>539</v>
      </c>
      <c r="B28" s="112" t="s">
        <v>89</v>
      </c>
      <c r="C28" s="102"/>
      <c r="D28" s="138" t="s">
        <v>96</v>
      </c>
      <c r="E28" s="139" t="s">
        <v>62</v>
      </c>
      <c r="F28" s="34" t="s">
        <v>24</v>
      </c>
      <c r="G28" s="34"/>
      <c r="H28" s="34" t="s">
        <v>621</v>
      </c>
      <c r="I28" s="34" t="s">
        <v>16</v>
      </c>
      <c r="J28" s="140">
        <v>0.26</v>
      </c>
      <c r="K28" s="34"/>
      <c r="L28" s="40">
        <f>50/J28</f>
        <v>192.30769230769229</v>
      </c>
      <c r="M28" s="40"/>
      <c r="N28" s="106">
        <v>2020</v>
      </c>
      <c r="O28" s="106" t="s">
        <v>640</v>
      </c>
      <c r="P28" s="106" t="s">
        <v>641</v>
      </c>
      <c r="Q28" s="118" t="s">
        <v>570</v>
      </c>
      <c r="R28" s="119"/>
      <c r="S28" s="107" t="s">
        <v>642</v>
      </c>
      <c r="T28" s="107">
        <v>18</v>
      </c>
      <c r="U28" s="107">
        <v>23</v>
      </c>
      <c r="V28" s="107">
        <v>2.3E-3</v>
      </c>
      <c r="W28" s="107"/>
      <c r="X28" s="107">
        <v>0.21199999999999999</v>
      </c>
      <c r="Y28" s="99">
        <f t="shared" ref="Y28:Y37" si="4">(X28*U28)/V28</f>
        <v>2120</v>
      </c>
      <c r="Z28" s="99">
        <v>80</v>
      </c>
      <c r="AA28" s="108">
        <f>Z28*V28/U28</f>
        <v>8.0000000000000002E-3</v>
      </c>
      <c r="AB28" s="108"/>
      <c r="AC28" s="106" t="s">
        <v>643</v>
      </c>
      <c r="AD28" s="109"/>
      <c r="AE28" s="109"/>
      <c r="AF28" s="109"/>
      <c r="AG28" s="109"/>
      <c r="AH28" s="109" t="s">
        <v>561</v>
      </c>
      <c r="AI28" s="109"/>
      <c r="AJ28" s="109" t="s">
        <v>644</v>
      </c>
      <c r="AK28" s="101"/>
      <c r="AL28" s="101"/>
      <c r="AM28" s="101"/>
      <c r="AN28" s="101"/>
    </row>
    <row r="29" spans="1:40" ht="16.5" customHeight="1" x14ac:dyDescent="0.3">
      <c r="A29" s="9" t="s">
        <v>539</v>
      </c>
      <c r="B29" s="36" t="s">
        <v>16</v>
      </c>
      <c r="C29" s="36" t="s">
        <v>553</v>
      </c>
      <c r="D29" s="95" t="s">
        <v>61</v>
      </c>
      <c r="E29" s="139" t="s">
        <v>62</v>
      </c>
      <c r="F29" s="34" t="s">
        <v>24</v>
      </c>
      <c r="G29" s="9"/>
      <c r="H29" s="9" t="s">
        <v>611</v>
      </c>
      <c r="I29" s="9" t="s">
        <v>16</v>
      </c>
      <c r="J29" s="11">
        <v>0.68</v>
      </c>
      <c r="K29" s="9"/>
      <c r="L29" s="9"/>
      <c r="M29" s="9"/>
      <c r="N29" s="98" t="s">
        <v>59</v>
      </c>
      <c r="O29" s="98"/>
      <c r="P29" s="98"/>
      <c r="Q29" s="39"/>
      <c r="R29" s="98"/>
      <c r="S29" s="39"/>
      <c r="T29" s="39">
        <v>47</v>
      </c>
      <c r="U29" s="39">
        <v>20</v>
      </c>
      <c r="V29" s="39">
        <v>2.1600000000000001E-2</v>
      </c>
      <c r="W29" s="113">
        <f>V29/U29</f>
        <v>1.08E-3</v>
      </c>
      <c r="X29" s="39">
        <v>0.4103</v>
      </c>
      <c r="Y29" s="99">
        <f t="shared" si="4"/>
        <v>379.90740740740739</v>
      </c>
      <c r="Z29" s="39"/>
      <c r="AA29" s="39"/>
      <c r="AB29" s="39"/>
      <c r="AC29" s="98"/>
      <c r="AD29" s="100"/>
      <c r="AE29" s="100"/>
      <c r="AF29" s="100"/>
      <c r="AG29" s="100"/>
      <c r="AH29" s="100"/>
      <c r="AI29" s="100"/>
      <c r="AJ29" s="100"/>
    </row>
    <row r="30" spans="1:40" ht="16.5" customHeight="1" x14ac:dyDescent="0.3">
      <c r="A30" s="129" t="s">
        <v>38</v>
      </c>
      <c r="B30" s="112" t="s">
        <v>605</v>
      </c>
      <c r="C30" s="102" t="s">
        <v>553</v>
      </c>
      <c r="D30" s="103" t="s">
        <v>85</v>
      </c>
      <c r="E30" s="104" t="s">
        <v>41</v>
      </c>
      <c r="F30" s="40" t="s">
        <v>40</v>
      </c>
      <c r="G30" s="40"/>
      <c r="H30" s="40" t="s">
        <v>621</v>
      </c>
      <c r="I30" s="40" t="s">
        <v>16</v>
      </c>
      <c r="J30" s="105">
        <v>0.32</v>
      </c>
      <c r="K30" s="40"/>
      <c r="L30" s="40">
        <f t="shared" ref="L30:L37" si="5">50/J30</f>
        <v>156.25</v>
      </c>
      <c r="M30" s="40"/>
      <c r="N30" s="106">
        <v>2020</v>
      </c>
      <c r="O30" s="106" t="s">
        <v>38</v>
      </c>
      <c r="P30" s="106" t="s">
        <v>645</v>
      </c>
      <c r="Q30" s="118" t="s">
        <v>570</v>
      </c>
      <c r="R30" s="119"/>
      <c r="S30" s="107" t="s">
        <v>646</v>
      </c>
      <c r="T30" s="107">
        <v>19</v>
      </c>
      <c r="U30" s="107">
        <v>12</v>
      </c>
      <c r="V30" s="107">
        <v>5.7999999999999996E-3</v>
      </c>
      <c r="W30" s="113">
        <f>V30/U30</f>
        <v>4.8333333333333328E-4</v>
      </c>
      <c r="X30" s="107">
        <v>12.97</v>
      </c>
      <c r="Y30" s="99">
        <f t="shared" si="4"/>
        <v>26834.482758620696</v>
      </c>
      <c r="Z30" s="99">
        <v>45</v>
      </c>
      <c r="AA30" s="108">
        <f>Z30*V30/U30</f>
        <v>2.1750000000000002E-2</v>
      </c>
      <c r="AB30" s="108" t="s">
        <v>575</v>
      </c>
      <c r="AC30" s="106"/>
      <c r="AD30" s="109" t="s">
        <v>647</v>
      </c>
      <c r="AE30" s="109"/>
      <c r="AF30" s="109">
        <v>2016</v>
      </c>
      <c r="AG30" s="109" t="s">
        <v>648</v>
      </c>
      <c r="AH30" s="109" t="s">
        <v>564</v>
      </c>
      <c r="AI30" s="109" t="s">
        <v>649</v>
      </c>
      <c r="AJ30" s="109" t="s">
        <v>650</v>
      </c>
      <c r="AK30" s="101"/>
      <c r="AL30" s="101"/>
      <c r="AM30" s="101"/>
      <c r="AN30" s="101"/>
    </row>
    <row r="31" spans="1:40" ht="16.5" customHeight="1" x14ac:dyDescent="0.3">
      <c r="A31" s="129" t="s">
        <v>38</v>
      </c>
      <c r="B31" s="112" t="s">
        <v>16</v>
      </c>
      <c r="C31" s="102" t="s">
        <v>173</v>
      </c>
      <c r="D31" s="103" t="s">
        <v>651</v>
      </c>
      <c r="E31" s="104" t="s">
        <v>32</v>
      </c>
      <c r="F31" s="40" t="s">
        <v>24</v>
      </c>
      <c r="G31" s="40"/>
      <c r="H31" s="40" t="s">
        <v>552</v>
      </c>
      <c r="I31" s="40" t="s">
        <v>16</v>
      </c>
      <c r="J31" s="105">
        <v>0.22</v>
      </c>
      <c r="K31" s="40" t="s">
        <v>559</v>
      </c>
      <c r="L31" s="117">
        <f t="shared" si="5"/>
        <v>227.27272727272728</v>
      </c>
      <c r="M31" s="117"/>
      <c r="N31" s="106">
        <v>2018</v>
      </c>
      <c r="O31" s="106" t="s">
        <v>38</v>
      </c>
      <c r="P31" s="106"/>
      <c r="Q31" s="107"/>
      <c r="R31" s="106"/>
      <c r="S31" s="107">
        <v>2</v>
      </c>
      <c r="T31" s="107">
        <v>20</v>
      </c>
      <c r="U31" s="107">
        <v>14</v>
      </c>
      <c r="V31" s="107">
        <v>2.3E-3</v>
      </c>
      <c r="W31" s="113">
        <f>V31/U31</f>
        <v>1.6428571428571428E-4</v>
      </c>
      <c r="X31" s="107">
        <f>31.6093*2</f>
        <v>63.218600000000002</v>
      </c>
      <c r="Y31" s="99">
        <f t="shared" si="4"/>
        <v>384808.86956521741</v>
      </c>
      <c r="Z31" s="99">
        <v>60</v>
      </c>
      <c r="AA31" s="108">
        <f>Z31*V31/U31</f>
        <v>9.8571428571428577E-3</v>
      </c>
      <c r="AB31" s="108">
        <f>(300*V31)/U31</f>
        <v>4.928571428571428E-2</v>
      </c>
      <c r="AC31" s="106" t="s">
        <v>563</v>
      </c>
      <c r="AD31" s="109" t="s">
        <v>652</v>
      </c>
      <c r="AE31" s="109"/>
      <c r="AF31" s="109">
        <v>2016</v>
      </c>
      <c r="AG31" s="109" t="s">
        <v>653</v>
      </c>
      <c r="AH31" s="109" t="s">
        <v>654</v>
      </c>
      <c r="AI31" s="109" t="s">
        <v>655</v>
      </c>
      <c r="AJ31" s="109" t="s">
        <v>583</v>
      </c>
      <c r="AK31" s="101"/>
      <c r="AL31" s="101"/>
      <c r="AM31" s="101"/>
      <c r="AN31" s="101"/>
    </row>
    <row r="32" spans="1:40" ht="16.5" customHeight="1" x14ac:dyDescent="0.3">
      <c r="A32" s="9" t="s">
        <v>539</v>
      </c>
      <c r="B32" s="36" t="s">
        <v>89</v>
      </c>
      <c r="C32" s="36"/>
      <c r="D32" s="95" t="s">
        <v>92</v>
      </c>
      <c r="E32" s="104" t="s">
        <v>32</v>
      </c>
      <c r="F32" s="40" t="s">
        <v>24</v>
      </c>
      <c r="G32" s="9"/>
      <c r="H32" s="9" t="s">
        <v>611</v>
      </c>
      <c r="I32" s="40" t="s">
        <v>16</v>
      </c>
      <c r="J32" s="11">
        <v>0.5</v>
      </c>
      <c r="K32" s="9"/>
      <c r="L32" s="9">
        <f t="shared" si="5"/>
        <v>100</v>
      </c>
      <c r="M32" s="9"/>
      <c r="N32" s="98" t="s">
        <v>59</v>
      </c>
      <c r="O32" s="98"/>
      <c r="P32" s="98" t="s">
        <v>656</v>
      </c>
      <c r="Q32" s="39"/>
      <c r="R32" s="98"/>
      <c r="S32" s="39" t="s">
        <v>657</v>
      </c>
      <c r="T32" s="39">
        <v>52</v>
      </c>
      <c r="U32" s="39"/>
      <c r="V32" s="39"/>
      <c r="W32" s="39"/>
      <c r="X32" s="39"/>
      <c r="Y32" s="99" t="e">
        <f t="shared" si="4"/>
        <v>#DIV/0!</v>
      </c>
      <c r="Z32" s="39"/>
      <c r="AA32" s="39"/>
      <c r="AB32" s="39"/>
      <c r="AC32" s="98"/>
      <c r="AD32" s="100"/>
      <c r="AE32" s="100"/>
      <c r="AF32" s="100"/>
      <c r="AG32" s="100"/>
      <c r="AH32" s="100"/>
      <c r="AI32" s="100"/>
      <c r="AJ32" s="100"/>
    </row>
    <row r="33" spans="1:40" ht="16.5" customHeight="1" x14ac:dyDescent="0.3">
      <c r="A33" s="9" t="s">
        <v>539</v>
      </c>
      <c r="B33" s="36" t="s">
        <v>16</v>
      </c>
      <c r="C33" s="36" t="s">
        <v>173</v>
      </c>
      <c r="D33" s="95" t="s">
        <v>44</v>
      </c>
      <c r="E33" s="9" t="s">
        <v>46</v>
      </c>
      <c r="F33" s="9" t="s">
        <v>45</v>
      </c>
      <c r="G33" s="9"/>
      <c r="H33" s="9" t="s">
        <v>611</v>
      </c>
      <c r="I33" s="9" t="s">
        <v>16</v>
      </c>
      <c r="J33" s="11">
        <v>0.7</v>
      </c>
      <c r="K33" s="40" t="s">
        <v>262</v>
      </c>
      <c r="L33" s="40">
        <f t="shared" si="5"/>
        <v>71.428571428571431</v>
      </c>
      <c r="M33" s="40"/>
      <c r="N33" s="98" t="s">
        <v>59</v>
      </c>
      <c r="O33" s="98" t="s">
        <v>596</v>
      </c>
      <c r="P33" s="98"/>
      <c r="Q33" s="39"/>
      <c r="R33" s="98"/>
      <c r="S33" s="39"/>
      <c r="T33" s="39">
        <v>40</v>
      </c>
      <c r="U33" s="39">
        <v>18</v>
      </c>
      <c r="V33" s="39">
        <v>4.3099999999999999E-2</v>
      </c>
      <c r="W33" s="113">
        <f>V33/U33</f>
        <v>2.3944444444444443E-3</v>
      </c>
      <c r="X33" s="39">
        <v>1.008</v>
      </c>
      <c r="Y33" s="99">
        <f t="shared" si="4"/>
        <v>420.9744779582366</v>
      </c>
      <c r="Z33" s="39"/>
      <c r="AA33" s="39"/>
      <c r="AB33" s="39"/>
      <c r="AC33" s="98"/>
      <c r="AD33" s="100"/>
      <c r="AE33" s="100"/>
      <c r="AF33" s="100"/>
      <c r="AG33" s="100"/>
      <c r="AH33" s="100"/>
      <c r="AI33" s="100"/>
      <c r="AJ33" s="100"/>
      <c r="AK33" s="101"/>
      <c r="AL33" s="101"/>
      <c r="AM33" s="101"/>
      <c r="AN33" s="101"/>
    </row>
    <row r="34" spans="1:40" s="141" customFormat="1" ht="16.5" customHeight="1" x14ac:dyDescent="0.3">
      <c r="A34" s="129" t="s">
        <v>38</v>
      </c>
      <c r="B34" s="112" t="s">
        <v>605</v>
      </c>
      <c r="C34" s="102" t="s">
        <v>226</v>
      </c>
      <c r="D34" s="103" t="s">
        <v>88</v>
      </c>
      <c r="E34" s="104" t="s">
        <v>41</v>
      </c>
      <c r="F34" s="40" t="s">
        <v>40</v>
      </c>
      <c r="G34" s="40"/>
      <c r="H34" s="40" t="s">
        <v>621</v>
      </c>
      <c r="I34" s="40" t="s">
        <v>16</v>
      </c>
      <c r="J34" s="105">
        <v>0.78</v>
      </c>
      <c r="K34" s="40"/>
      <c r="L34" s="40">
        <f t="shared" si="5"/>
        <v>64.102564102564102</v>
      </c>
      <c r="M34" s="40"/>
      <c r="N34" s="106">
        <v>2020</v>
      </c>
      <c r="O34" s="106" t="s">
        <v>640</v>
      </c>
      <c r="P34" s="106" t="s">
        <v>641</v>
      </c>
      <c r="Q34" s="118" t="s">
        <v>570</v>
      </c>
      <c r="R34" s="119"/>
      <c r="S34" s="107" t="s">
        <v>642</v>
      </c>
      <c r="T34" s="107">
        <v>21</v>
      </c>
      <c r="U34" s="107">
        <v>11</v>
      </c>
      <c r="V34" s="107">
        <v>6.0000000000000001E-3</v>
      </c>
      <c r="W34" s="113">
        <f>V34/U34</f>
        <v>5.4545454545454548E-4</v>
      </c>
      <c r="X34" s="107">
        <v>3.1728000000000001</v>
      </c>
      <c r="Y34" s="99">
        <f t="shared" si="4"/>
        <v>5816.8</v>
      </c>
      <c r="Z34" s="99">
        <v>80</v>
      </c>
      <c r="AA34" s="108">
        <f t="shared" ref="AA34:AA39" si="6">Z34*V34/U34</f>
        <v>4.3636363636363633E-2</v>
      </c>
      <c r="AB34" s="108"/>
      <c r="AC34" s="106"/>
      <c r="AD34" s="109" t="s">
        <v>560</v>
      </c>
      <c r="AE34" s="109"/>
      <c r="AF34" s="109">
        <v>2019</v>
      </c>
      <c r="AG34" s="109" t="s">
        <v>547</v>
      </c>
      <c r="AH34" s="109" t="s">
        <v>564</v>
      </c>
      <c r="AI34" s="109" t="s">
        <v>658</v>
      </c>
      <c r="AJ34" s="109" t="s">
        <v>650</v>
      </c>
      <c r="AK34" s="101"/>
      <c r="AL34" s="101"/>
      <c r="AM34" s="101"/>
      <c r="AN34" s="101"/>
    </row>
    <row r="35" spans="1:40" ht="16.5" customHeight="1" x14ac:dyDescent="0.3">
      <c r="A35" s="129" t="s">
        <v>38</v>
      </c>
      <c r="B35" s="112" t="s">
        <v>16</v>
      </c>
      <c r="C35" s="102" t="s">
        <v>226</v>
      </c>
      <c r="D35" s="103" t="s">
        <v>73</v>
      </c>
      <c r="E35" s="104" t="s">
        <v>74</v>
      </c>
      <c r="F35" s="40" t="s">
        <v>19</v>
      </c>
      <c r="G35" s="40"/>
      <c r="H35" s="40" t="s">
        <v>621</v>
      </c>
      <c r="I35" s="40" t="s">
        <v>16</v>
      </c>
      <c r="J35" s="105">
        <v>0.2</v>
      </c>
      <c r="K35" s="40"/>
      <c r="L35" s="40">
        <f t="shared" si="5"/>
        <v>250</v>
      </c>
      <c r="M35" s="40"/>
      <c r="N35" s="106"/>
      <c r="O35" s="106" t="s">
        <v>555</v>
      </c>
      <c r="P35" s="106"/>
      <c r="Q35" s="107" t="s">
        <v>556</v>
      </c>
      <c r="R35" s="107" t="s">
        <v>659</v>
      </c>
      <c r="S35" s="107">
        <v>1</v>
      </c>
      <c r="T35" s="107">
        <v>22</v>
      </c>
      <c r="U35" s="107">
        <v>7</v>
      </c>
      <c r="V35" s="107">
        <v>1.52E-2</v>
      </c>
      <c r="W35" s="113">
        <f>V35/U35</f>
        <v>2.1714285714285715E-3</v>
      </c>
      <c r="X35" s="107">
        <v>0.16420000000000001</v>
      </c>
      <c r="Y35" s="99">
        <f t="shared" si="4"/>
        <v>75.618421052631575</v>
      </c>
      <c r="Z35" s="99">
        <v>80</v>
      </c>
      <c r="AA35" s="108">
        <f t="shared" si="6"/>
        <v>0.17371428571428571</v>
      </c>
      <c r="AB35" s="108"/>
      <c r="AC35" s="106" t="s">
        <v>660</v>
      </c>
      <c r="AD35" s="109"/>
      <c r="AE35" s="109"/>
      <c r="AF35" s="109"/>
      <c r="AG35" s="109"/>
      <c r="AH35" s="109" t="s">
        <v>654</v>
      </c>
      <c r="AI35" s="109" t="s">
        <v>661</v>
      </c>
      <c r="AJ35" s="109" t="s">
        <v>662</v>
      </c>
    </row>
    <row r="36" spans="1:40" ht="16.5" customHeight="1" x14ac:dyDescent="0.3">
      <c r="A36" s="129" t="s">
        <v>38</v>
      </c>
      <c r="B36" s="112" t="s">
        <v>16</v>
      </c>
      <c r="C36" s="102" t="s">
        <v>226</v>
      </c>
      <c r="D36" s="103" t="s">
        <v>77</v>
      </c>
      <c r="E36" s="104" t="s">
        <v>78</v>
      </c>
      <c r="F36" s="40" t="s">
        <v>40</v>
      </c>
      <c r="G36" s="40"/>
      <c r="H36" s="40" t="s">
        <v>629</v>
      </c>
      <c r="I36" s="40" t="s">
        <v>16</v>
      </c>
      <c r="J36" s="105">
        <v>0.51</v>
      </c>
      <c r="K36" s="40" t="s">
        <v>580</v>
      </c>
      <c r="L36" s="117">
        <f t="shared" si="5"/>
        <v>98.039215686274503</v>
      </c>
      <c r="M36" s="117"/>
      <c r="N36" s="106">
        <v>2019</v>
      </c>
      <c r="O36" s="106" t="s">
        <v>38</v>
      </c>
      <c r="P36" s="106"/>
      <c r="Q36" s="107"/>
      <c r="R36" s="106"/>
      <c r="S36" s="107">
        <v>1</v>
      </c>
      <c r="T36" s="107">
        <v>23</v>
      </c>
      <c r="U36" s="107">
        <v>6</v>
      </c>
      <c r="V36" s="107">
        <v>3.9699999999999999E-2</v>
      </c>
      <c r="W36" s="113">
        <f>V36/U36</f>
        <v>6.6166666666666665E-3</v>
      </c>
      <c r="X36" s="107">
        <v>2.6772</v>
      </c>
      <c r="Y36" s="99">
        <f t="shared" si="4"/>
        <v>404.61460957178849</v>
      </c>
      <c r="Z36" s="99">
        <v>20</v>
      </c>
      <c r="AA36" s="108">
        <f t="shared" si="6"/>
        <v>0.13233333333333333</v>
      </c>
      <c r="AB36" s="108">
        <f>(50*V36)/U36</f>
        <v>0.33083333333333331</v>
      </c>
      <c r="AC36" s="106"/>
      <c r="AD36" s="109"/>
      <c r="AE36" s="109"/>
      <c r="AF36" s="109"/>
      <c r="AG36" s="109"/>
      <c r="AH36" s="109" t="s">
        <v>597</v>
      </c>
      <c r="AI36" s="109" t="s">
        <v>663</v>
      </c>
      <c r="AJ36" s="109" t="s">
        <v>619</v>
      </c>
    </row>
    <row r="37" spans="1:40" ht="16.5" customHeight="1" x14ac:dyDescent="0.3">
      <c r="A37" s="129" t="s">
        <v>539</v>
      </c>
      <c r="B37" s="112" t="s">
        <v>89</v>
      </c>
      <c r="C37" s="102"/>
      <c r="D37" s="103" t="s">
        <v>664</v>
      </c>
      <c r="E37" s="104" t="s">
        <v>34</v>
      </c>
      <c r="F37" s="40" t="s">
        <v>24</v>
      </c>
      <c r="G37" s="40"/>
      <c r="H37" s="40" t="s">
        <v>629</v>
      </c>
      <c r="I37" s="40" t="s">
        <v>16</v>
      </c>
      <c r="J37" s="105">
        <v>0.95</v>
      </c>
      <c r="K37" s="40" t="s">
        <v>559</v>
      </c>
      <c r="L37" s="117">
        <f t="shared" si="5"/>
        <v>52.631578947368425</v>
      </c>
      <c r="M37" s="117"/>
      <c r="N37" s="106">
        <v>2019</v>
      </c>
      <c r="O37" s="106" t="s">
        <v>38</v>
      </c>
      <c r="P37" s="106"/>
      <c r="Q37" s="107"/>
      <c r="R37" s="106"/>
      <c r="S37" s="107">
        <v>1</v>
      </c>
      <c r="T37" s="107">
        <v>24</v>
      </c>
      <c r="U37" s="107">
        <v>13</v>
      </c>
      <c r="V37" s="107">
        <v>5.4000000000000003E-3</v>
      </c>
      <c r="W37" s="107"/>
      <c r="X37" s="107">
        <v>22.55</v>
      </c>
      <c r="Y37" s="99">
        <f t="shared" si="4"/>
        <v>54287.037037037044</v>
      </c>
      <c r="Z37" s="99">
        <v>45</v>
      </c>
      <c r="AA37" s="108">
        <f t="shared" si="6"/>
        <v>1.8692307692307696E-2</v>
      </c>
      <c r="AB37" s="108">
        <f>(300*V37)/U37</f>
        <v>0.12461538461538463</v>
      </c>
      <c r="AC37" s="106" t="s">
        <v>665</v>
      </c>
      <c r="AD37" s="109"/>
      <c r="AE37" s="109"/>
      <c r="AF37" s="109"/>
      <c r="AG37" s="109"/>
      <c r="AH37" s="110"/>
      <c r="AI37" s="109"/>
      <c r="AJ37" s="109" t="s">
        <v>619</v>
      </c>
      <c r="AK37" s="101"/>
      <c r="AL37" s="101"/>
      <c r="AM37" s="101"/>
      <c r="AN37" s="101"/>
    </row>
    <row r="38" spans="1:40" ht="16.5" customHeight="1" x14ac:dyDescent="0.3">
      <c r="A38" s="129" t="s">
        <v>38</v>
      </c>
      <c r="B38" s="102"/>
      <c r="C38" s="102"/>
      <c r="D38" s="103" t="s">
        <v>666</v>
      </c>
      <c r="E38" s="104" t="s">
        <v>34</v>
      </c>
      <c r="F38" s="40" t="s">
        <v>24</v>
      </c>
      <c r="G38" s="40"/>
      <c r="H38" s="40"/>
      <c r="I38" s="40"/>
      <c r="J38" s="126"/>
      <c r="K38" s="40"/>
      <c r="L38" s="40"/>
      <c r="M38" s="40"/>
      <c r="N38" s="106">
        <v>2021</v>
      </c>
      <c r="O38" s="106" t="s">
        <v>539</v>
      </c>
      <c r="P38" s="106" t="s">
        <v>667</v>
      </c>
      <c r="Q38" s="107"/>
      <c r="R38" s="106"/>
      <c r="S38" s="107"/>
      <c r="T38" s="107">
        <v>25</v>
      </c>
      <c r="U38" s="107"/>
      <c r="V38" s="107"/>
      <c r="W38" s="107"/>
      <c r="X38" s="107"/>
      <c r="Y38" s="99">
        <v>0</v>
      </c>
      <c r="Z38" s="99">
        <v>80</v>
      </c>
      <c r="AA38" s="108" t="e">
        <f t="shared" si="6"/>
        <v>#DIV/0!</v>
      </c>
      <c r="AB38" s="108"/>
      <c r="AC38" s="106"/>
      <c r="AD38" s="110" t="s">
        <v>668</v>
      </c>
      <c r="AE38" s="110"/>
      <c r="AF38" s="109"/>
      <c r="AG38" s="109"/>
      <c r="AH38" s="110" t="s">
        <v>548</v>
      </c>
      <c r="AI38" s="109" t="s">
        <v>669</v>
      </c>
      <c r="AJ38" s="109" t="s">
        <v>670</v>
      </c>
      <c r="AK38" s="101"/>
      <c r="AL38" s="101"/>
      <c r="AM38" s="101"/>
      <c r="AN38" s="101"/>
    </row>
    <row r="39" spans="1:40" ht="16.5" customHeight="1" x14ac:dyDescent="0.3">
      <c r="A39" s="129" t="s">
        <v>38</v>
      </c>
      <c r="B39" s="112" t="s">
        <v>16</v>
      </c>
      <c r="C39" s="102" t="s">
        <v>173</v>
      </c>
      <c r="D39" s="103" t="s">
        <v>33</v>
      </c>
      <c r="E39" s="104" t="s">
        <v>34</v>
      </c>
      <c r="F39" s="40" t="s">
        <v>24</v>
      </c>
      <c r="G39" s="40"/>
      <c r="H39" s="40" t="s">
        <v>621</v>
      </c>
      <c r="I39" s="40" t="s">
        <v>16</v>
      </c>
      <c r="J39" s="105">
        <v>0.38</v>
      </c>
      <c r="K39" s="40"/>
      <c r="L39" s="40">
        <f>50/J39</f>
        <v>131.57894736842104</v>
      </c>
      <c r="M39" s="40"/>
      <c r="N39" s="106">
        <v>2020</v>
      </c>
      <c r="O39" s="106" t="s">
        <v>640</v>
      </c>
      <c r="P39" s="106" t="s">
        <v>641</v>
      </c>
      <c r="Q39" s="118" t="s">
        <v>570</v>
      </c>
      <c r="R39" s="119"/>
      <c r="S39" s="107"/>
      <c r="T39" s="107">
        <v>26</v>
      </c>
      <c r="U39" s="107">
        <v>8</v>
      </c>
      <c r="V39" s="107">
        <v>5.4000000000000003E-3</v>
      </c>
      <c r="W39" s="113">
        <f>V39/U39</f>
        <v>6.7500000000000004E-4</v>
      </c>
      <c r="X39" s="107">
        <v>0.24030000000000001</v>
      </c>
      <c r="Y39" s="99">
        <f>(X39*U39)/V39</f>
        <v>356</v>
      </c>
      <c r="Z39" s="99">
        <v>80</v>
      </c>
      <c r="AA39" s="108">
        <f t="shared" si="6"/>
        <v>5.4000000000000006E-2</v>
      </c>
      <c r="AB39" s="108"/>
      <c r="AC39" s="106"/>
      <c r="AD39" s="109" t="s">
        <v>560</v>
      </c>
      <c r="AE39" s="109"/>
      <c r="AF39" s="109">
        <v>2019</v>
      </c>
      <c r="AG39" s="109"/>
      <c r="AH39" s="110" t="s">
        <v>548</v>
      </c>
      <c r="AI39" s="109" t="s">
        <v>671</v>
      </c>
      <c r="AJ39" s="109" t="s">
        <v>672</v>
      </c>
      <c r="AK39" s="101"/>
      <c r="AL39" s="101"/>
      <c r="AM39" s="101"/>
      <c r="AN39" s="101"/>
    </row>
    <row r="40" spans="1:40" ht="16.5" customHeight="1" x14ac:dyDescent="0.3">
      <c r="A40" s="9" t="s">
        <v>539</v>
      </c>
      <c r="B40" s="33"/>
      <c r="C40" s="33"/>
      <c r="D40" s="95" t="s">
        <v>673</v>
      </c>
      <c r="E40" s="104" t="s">
        <v>34</v>
      </c>
      <c r="F40" s="40" t="s">
        <v>24</v>
      </c>
      <c r="G40" s="9"/>
      <c r="H40" s="9" t="s">
        <v>611</v>
      </c>
      <c r="I40" s="9" t="s">
        <v>89</v>
      </c>
      <c r="J40" s="97"/>
      <c r="K40" s="9"/>
      <c r="L40" s="9"/>
      <c r="M40" s="9"/>
      <c r="N40" s="98" t="s">
        <v>59</v>
      </c>
      <c r="O40" s="98"/>
      <c r="P40" s="98"/>
      <c r="Q40" s="39"/>
      <c r="R40" s="98"/>
      <c r="S40" s="39"/>
      <c r="T40" s="39">
        <v>42</v>
      </c>
      <c r="U40" s="39">
        <v>17</v>
      </c>
      <c r="V40" s="39">
        <v>0.1067</v>
      </c>
      <c r="W40" s="39"/>
      <c r="X40" s="39">
        <v>1.0492999999999999</v>
      </c>
      <c r="Y40" s="99">
        <f>(X40*U40)/V40</f>
        <v>167.17994376757261</v>
      </c>
      <c r="Z40" s="39"/>
      <c r="AA40" s="39"/>
      <c r="AB40" s="39"/>
      <c r="AC40" s="98"/>
      <c r="AD40" s="100"/>
      <c r="AE40" s="100"/>
      <c r="AF40" s="100"/>
      <c r="AG40" s="100"/>
      <c r="AH40" s="100"/>
      <c r="AI40" s="100"/>
      <c r="AJ40" s="100"/>
      <c r="AK40" s="101"/>
      <c r="AL40" s="101"/>
      <c r="AM40" s="101"/>
      <c r="AN40" s="101"/>
    </row>
    <row r="41" spans="1:40" ht="16.5" customHeight="1" x14ac:dyDescent="0.3">
      <c r="A41" s="129" t="s">
        <v>539</v>
      </c>
      <c r="B41" s="112" t="s">
        <v>16</v>
      </c>
      <c r="C41" s="102" t="s">
        <v>173</v>
      </c>
      <c r="D41" s="103" t="s">
        <v>674</v>
      </c>
      <c r="E41" s="104" t="s">
        <v>20</v>
      </c>
      <c r="F41" s="40" t="s">
        <v>19</v>
      </c>
      <c r="G41" s="40"/>
      <c r="H41" s="9" t="s">
        <v>558</v>
      </c>
      <c r="I41" s="40" t="s">
        <v>16</v>
      </c>
      <c r="J41" s="105">
        <v>0.6</v>
      </c>
      <c r="K41" s="40"/>
      <c r="L41" s="40">
        <f>50/J41</f>
        <v>83.333333333333343</v>
      </c>
      <c r="M41" s="40"/>
      <c r="N41" s="106">
        <v>2018</v>
      </c>
      <c r="O41" s="106" t="s">
        <v>38</v>
      </c>
      <c r="P41" s="106"/>
      <c r="Q41" s="107"/>
      <c r="R41" s="106"/>
      <c r="S41" s="107" t="s">
        <v>675</v>
      </c>
      <c r="T41" s="107">
        <v>27</v>
      </c>
      <c r="U41" s="107">
        <v>11</v>
      </c>
      <c r="V41" s="107">
        <v>4.4999999999999997E-3</v>
      </c>
      <c r="W41" s="113">
        <f>V41/U41</f>
        <v>4.0909090909090908E-4</v>
      </c>
      <c r="X41" s="107">
        <v>6.8453999999999997</v>
      </c>
      <c r="Y41" s="99">
        <f>(X41*U41)/V41</f>
        <v>16733.2</v>
      </c>
      <c r="Z41" s="99">
        <v>45</v>
      </c>
      <c r="AA41" s="108">
        <f>Z41*V41/U41</f>
        <v>1.8409090909090906E-2</v>
      </c>
      <c r="AB41" s="108">
        <f>(300*V41)/U41</f>
        <v>0.12272727272727271</v>
      </c>
      <c r="AC41" s="106" t="s">
        <v>676</v>
      </c>
      <c r="AD41" s="109"/>
      <c r="AE41" s="109"/>
      <c r="AF41" s="109"/>
      <c r="AG41" s="109"/>
      <c r="AH41" s="109"/>
      <c r="AI41" s="109"/>
      <c r="AJ41" s="109"/>
      <c r="AK41" s="101"/>
      <c r="AL41" s="101"/>
      <c r="AM41" s="101"/>
      <c r="AN41" s="101"/>
    </row>
    <row r="42" spans="1:40" ht="16.5" customHeight="1" x14ac:dyDescent="0.3">
      <c r="A42" s="129" t="s">
        <v>539</v>
      </c>
      <c r="B42" s="112" t="s">
        <v>16</v>
      </c>
      <c r="C42" s="102" t="s">
        <v>173</v>
      </c>
      <c r="D42" s="142" t="s">
        <v>36</v>
      </c>
      <c r="E42" s="104" t="s">
        <v>37</v>
      </c>
      <c r="F42" s="40" t="s">
        <v>24</v>
      </c>
      <c r="G42" s="40"/>
      <c r="H42" s="40"/>
      <c r="I42" s="40"/>
      <c r="J42" s="126"/>
      <c r="K42" s="40"/>
      <c r="L42" s="40"/>
      <c r="M42" s="40"/>
      <c r="N42" s="106"/>
      <c r="O42" s="106" t="s">
        <v>539</v>
      </c>
      <c r="P42" s="106"/>
      <c r="Q42" s="107"/>
      <c r="R42" s="106"/>
      <c r="S42" s="107"/>
      <c r="T42" s="107">
        <v>28</v>
      </c>
      <c r="U42" s="107"/>
      <c r="V42" s="107"/>
      <c r="W42" s="113" t="e">
        <f>V42/U42</f>
        <v>#DIV/0!</v>
      </c>
      <c r="X42" s="107"/>
      <c r="Y42" s="99">
        <v>0</v>
      </c>
      <c r="Z42" s="99">
        <v>80</v>
      </c>
      <c r="AA42" s="108" t="e">
        <f>Z42*V42/U42</f>
        <v>#DIV/0!</v>
      </c>
      <c r="AB42" s="108"/>
      <c r="AC42" s="106" t="s">
        <v>676</v>
      </c>
      <c r="AD42" s="109"/>
      <c r="AE42" s="109"/>
      <c r="AF42" s="109"/>
      <c r="AG42" s="109"/>
      <c r="AH42" s="109"/>
      <c r="AI42" s="109"/>
      <c r="AJ42" s="109" t="s">
        <v>677</v>
      </c>
      <c r="AK42" s="101"/>
      <c r="AL42" s="101"/>
      <c r="AM42" s="101"/>
      <c r="AN42" s="101"/>
    </row>
    <row r="43" spans="1:40" ht="16.5" customHeight="1" x14ac:dyDescent="0.3">
      <c r="A43" s="102"/>
      <c r="B43" s="102"/>
      <c r="C43" s="102"/>
      <c r="D43" s="111" t="s">
        <v>678</v>
      </c>
      <c r="E43" s="104" t="s">
        <v>37</v>
      </c>
      <c r="F43" s="40" t="s">
        <v>24</v>
      </c>
      <c r="G43" s="40"/>
      <c r="H43" s="40" t="s">
        <v>552</v>
      </c>
      <c r="I43" s="40" t="s">
        <v>16</v>
      </c>
      <c r="J43" s="105">
        <v>0.72</v>
      </c>
      <c r="K43" s="40" t="s">
        <v>580</v>
      </c>
      <c r="L43" s="117">
        <f>50/J43</f>
        <v>69.444444444444443</v>
      </c>
      <c r="M43" s="117"/>
      <c r="N43" s="106"/>
      <c r="O43" s="106"/>
      <c r="P43" s="106"/>
      <c r="Q43" s="107"/>
      <c r="R43" s="106"/>
      <c r="S43" s="107"/>
      <c r="T43" s="107">
        <v>39</v>
      </c>
      <c r="U43" s="107">
        <v>10</v>
      </c>
      <c r="V43" s="107">
        <v>4.1000000000000003E-3</v>
      </c>
      <c r="W43" s="113">
        <f>V43/U43</f>
        <v>4.1000000000000005E-4</v>
      </c>
      <c r="X43" s="107">
        <v>1.0158</v>
      </c>
      <c r="Y43" s="99">
        <f t="shared" ref="Y43:Y55" si="7">(X43*U43)/V43</f>
        <v>2477.560975609756</v>
      </c>
      <c r="Z43" s="99"/>
      <c r="AA43" s="108"/>
      <c r="AB43" s="108"/>
      <c r="AC43" s="106"/>
      <c r="AD43" s="109"/>
      <c r="AE43" s="109"/>
      <c r="AF43" s="109"/>
      <c r="AG43" s="109"/>
      <c r="AH43" s="109"/>
      <c r="AI43" s="109"/>
      <c r="AJ43" s="109"/>
      <c r="AK43" s="101"/>
      <c r="AL43" s="101"/>
      <c r="AM43" s="101"/>
      <c r="AN43" s="101"/>
    </row>
    <row r="44" spans="1:40" ht="16.5" customHeight="1" x14ac:dyDescent="0.3">
      <c r="A44" s="137" t="s">
        <v>539</v>
      </c>
      <c r="B44" s="102"/>
      <c r="C44" s="102"/>
      <c r="D44" s="138" t="s">
        <v>679</v>
      </c>
      <c r="E44" s="139" t="s">
        <v>41</v>
      </c>
      <c r="F44" s="34" t="s">
        <v>40</v>
      </c>
      <c r="G44" s="34"/>
      <c r="H44" s="34"/>
      <c r="I44" s="34"/>
      <c r="J44" s="143"/>
      <c r="K44" s="34"/>
      <c r="L44" s="34"/>
      <c r="M44" s="34"/>
      <c r="N44" s="106">
        <v>2018</v>
      </c>
      <c r="O44" s="106" t="s">
        <v>38</v>
      </c>
      <c r="P44" s="106"/>
      <c r="Q44" s="107"/>
      <c r="R44" s="106"/>
      <c r="S44" s="107" t="s">
        <v>680</v>
      </c>
      <c r="T44" s="107">
        <v>29</v>
      </c>
      <c r="U44" s="107">
        <v>20</v>
      </c>
      <c r="V44" s="107">
        <v>0.32229999999999998</v>
      </c>
      <c r="W44" s="107"/>
      <c r="X44" s="107">
        <f>9.36*15</f>
        <v>140.39999999999998</v>
      </c>
      <c r="Y44" s="99">
        <f t="shared" si="7"/>
        <v>8712.3797704002482</v>
      </c>
      <c r="Z44" s="99">
        <v>45</v>
      </c>
      <c r="AA44" s="108">
        <f>Z44*V44/U44</f>
        <v>0.7251749999999999</v>
      </c>
      <c r="AB44" s="108">
        <f>(300*V44)/U44</f>
        <v>4.8345000000000002</v>
      </c>
      <c r="AC44" s="106" t="s">
        <v>681</v>
      </c>
      <c r="AD44" s="109"/>
      <c r="AE44" s="109"/>
      <c r="AF44" s="109"/>
      <c r="AG44" s="109"/>
      <c r="AH44" s="109" t="s">
        <v>597</v>
      </c>
      <c r="AI44" s="109"/>
      <c r="AJ44" s="109" t="s">
        <v>682</v>
      </c>
      <c r="AK44" s="101"/>
      <c r="AL44" s="101"/>
      <c r="AM44" s="101"/>
      <c r="AN44" s="101"/>
    </row>
    <row r="45" spans="1:40" ht="16.5" customHeight="1" x14ac:dyDescent="0.3">
      <c r="A45" s="137" t="s">
        <v>539</v>
      </c>
      <c r="B45" s="102"/>
      <c r="C45" s="102"/>
      <c r="D45" s="138" t="s">
        <v>683</v>
      </c>
      <c r="E45" s="139" t="s">
        <v>41</v>
      </c>
      <c r="F45" s="34" t="s">
        <v>40</v>
      </c>
      <c r="G45" s="34"/>
      <c r="H45" s="34" t="s">
        <v>611</v>
      </c>
      <c r="I45" s="34" t="s">
        <v>89</v>
      </c>
      <c r="J45" s="143"/>
      <c r="K45" s="34"/>
      <c r="L45" s="34"/>
      <c r="M45" s="34"/>
      <c r="N45" s="106">
        <v>2018</v>
      </c>
      <c r="O45" s="106" t="s">
        <v>38</v>
      </c>
      <c r="P45" s="106"/>
      <c r="Q45" s="107"/>
      <c r="R45" s="106"/>
      <c r="S45" s="107">
        <v>3</v>
      </c>
      <c r="T45" s="107">
        <v>30</v>
      </c>
      <c r="U45" s="107">
        <v>27</v>
      </c>
      <c r="V45" s="107">
        <v>0.1313</v>
      </c>
      <c r="W45" s="107"/>
      <c r="X45" s="107">
        <f>13.3526*3</f>
        <v>40.0578</v>
      </c>
      <c r="Y45" s="99">
        <f t="shared" si="7"/>
        <v>8237.3236862147751</v>
      </c>
      <c r="Z45" s="99">
        <v>45</v>
      </c>
      <c r="AA45" s="108">
        <f>Z45*V45/U45</f>
        <v>0.21883333333333332</v>
      </c>
      <c r="AB45" s="108">
        <f>(300*V45)/U45</f>
        <v>1.4588888888888889</v>
      </c>
      <c r="AC45" s="106" t="s">
        <v>684</v>
      </c>
      <c r="AD45" s="109"/>
      <c r="AE45" s="109"/>
      <c r="AF45" s="109"/>
      <c r="AG45" s="109"/>
      <c r="AH45" s="109" t="s">
        <v>597</v>
      </c>
      <c r="AI45" s="109"/>
      <c r="AJ45" s="109" t="s">
        <v>583</v>
      </c>
      <c r="AK45" s="101"/>
      <c r="AL45" s="101"/>
      <c r="AM45" s="101"/>
      <c r="AN45" s="101"/>
    </row>
    <row r="46" spans="1:40" ht="16.5" customHeight="1" x14ac:dyDescent="0.3">
      <c r="A46" s="9" t="s">
        <v>539</v>
      </c>
      <c r="B46" s="36" t="s">
        <v>605</v>
      </c>
      <c r="C46" s="36" t="s">
        <v>553</v>
      </c>
      <c r="D46" s="95" t="s">
        <v>98</v>
      </c>
      <c r="E46" s="104" t="s">
        <v>29</v>
      </c>
      <c r="F46" s="40" t="s">
        <v>24</v>
      </c>
      <c r="G46" s="9"/>
      <c r="H46" s="9" t="s">
        <v>685</v>
      </c>
      <c r="I46" s="9" t="s">
        <v>16</v>
      </c>
      <c r="J46" s="97"/>
      <c r="K46" s="9"/>
      <c r="L46" s="9"/>
      <c r="M46" s="9"/>
      <c r="N46" s="98" t="s">
        <v>59</v>
      </c>
      <c r="O46" s="98"/>
      <c r="P46" s="98"/>
      <c r="Q46" s="39"/>
      <c r="R46" s="98"/>
      <c r="S46" s="39"/>
      <c r="T46" s="39">
        <v>49</v>
      </c>
      <c r="U46" s="39">
        <v>10</v>
      </c>
      <c r="V46" s="39">
        <v>1.12E-2</v>
      </c>
      <c r="W46" s="113">
        <f>V46/U46</f>
        <v>1.1199999999999999E-3</v>
      </c>
      <c r="X46" s="39">
        <v>0.25779999999999997</v>
      </c>
      <c r="Y46" s="99">
        <f t="shared" si="7"/>
        <v>230.17857142857142</v>
      </c>
      <c r="Z46" s="39"/>
      <c r="AA46" s="39"/>
      <c r="AB46" s="39"/>
      <c r="AC46" s="98"/>
      <c r="AD46" s="100"/>
      <c r="AE46" s="100"/>
      <c r="AF46" s="100"/>
      <c r="AG46" s="100"/>
      <c r="AH46" s="100"/>
      <c r="AI46" s="100"/>
      <c r="AJ46" s="100"/>
      <c r="AK46" s="101"/>
      <c r="AL46" s="101"/>
      <c r="AM46" s="101"/>
      <c r="AN46" s="101"/>
    </row>
    <row r="47" spans="1:40" ht="16.5" customHeight="1" x14ac:dyDescent="0.3">
      <c r="A47" s="9" t="s">
        <v>539</v>
      </c>
      <c r="B47" s="33"/>
      <c r="C47" s="33"/>
      <c r="D47" s="95" t="s">
        <v>410</v>
      </c>
      <c r="E47" s="104" t="s">
        <v>29</v>
      </c>
      <c r="F47" s="40" t="s">
        <v>24</v>
      </c>
      <c r="G47" s="9"/>
      <c r="H47" s="9" t="s">
        <v>621</v>
      </c>
      <c r="I47" s="9" t="s">
        <v>89</v>
      </c>
      <c r="J47" s="11">
        <v>0</v>
      </c>
      <c r="K47" s="40" t="s">
        <v>262</v>
      </c>
      <c r="L47" s="40" t="e">
        <f>50/J47</f>
        <v>#DIV/0!</v>
      </c>
      <c r="M47" s="40"/>
      <c r="N47" s="98" t="s">
        <v>59</v>
      </c>
      <c r="O47" s="98"/>
      <c r="P47" s="98"/>
      <c r="Q47" s="39"/>
      <c r="R47" s="98"/>
      <c r="S47" s="39"/>
      <c r="T47" s="39">
        <v>41</v>
      </c>
      <c r="U47" s="39">
        <v>11</v>
      </c>
      <c r="V47" s="39">
        <v>1.1999999999999999E-3</v>
      </c>
      <c r="W47" s="39"/>
      <c r="X47" s="39">
        <v>0.12640000000000001</v>
      </c>
      <c r="Y47" s="99">
        <f t="shared" si="7"/>
        <v>1158.6666666666667</v>
      </c>
      <c r="Z47" s="39"/>
      <c r="AA47" s="39"/>
      <c r="AB47" s="39"/>
      <c r="AC47" s="98"/>
      <c r="AD47" s="100"/>
      <c r="AE47" s="100"/>
      <c r="AF47" s="100"/>
      <c r="AG47" s="100"/>
      <c r="AH47" s="100"/>
      <c r="AI47" s="100"/>
      <c r="AJ47" s="100"/>
      <c r="AK47" s="128"/>
      <c r="AL47" s="128"/>
      <c r="AM47" s="128"/>
      <c r="AN47" s="128"/>
    </row>
    <row r="48" spans="1:40" ht="16.5" customHeight="1" x14ac:dyDescent="0.3">
      <c r="A48" s="9" t="s">
        <v>539</v>
      </c>
      <c r="B48" s="36" t="s">
        <v>89</v>
      </c>
      <c r="C48" s="36"/>
      <c r="D48" s="95" t="s">
        <v>686</v>
      </c>
      <c r="E48" s="104" t="s">
        <v>29</v>
      </c>
      <c r="F48" s="40" t="s">
        <v>24</v>
      </c>
      <c r="G48" s="9"/>
      <c r="H48" s="9" t="s">
        <v>685</v>
      </c>
      <c r="I48" s="9" t="s">
        <v>16</v>
      </c>
      <c r="J48" s="97"/>
      <c r="K48" s="9"/>
      <c r="L48" s="9"/>
      <c r="M48" s="9"/>
      <c r="N48" s="98" t="s">
        <v>59</v>
      </c>
      <c r="O48" s="98"/>
      <c r="P48" s="98"/>
      <c r="Q48" s="39"/>
      <c r="R48" s="98"/>
      <c r="S48" s="39"/>
      <c r="T48" s="39">
        <v>50</v>
      </c>
      <c r="U48" s="39">
        <v>8</v>
      </c>
      <c r="V48" s="39">
        <v>1.6999999999999999E-3</v>
      </c>
      <c r="W48" s="39"/>
      <c r="X48" s="39">
        <v>0.63460000000000005</v>
      </c>
      <c r="Y48" s="99">
        <f t="shared" si="7"/>
        <v>2986.3529411764712</v>
      </c>
      <c r="Z48" s="39"/>
      <c r="AA48" s="39"/>
      <c r="AB48" s="39"/>
      <c r="AC48" s="98"/>
      <c r="AD48" s="100"/>
      <c r="AE48" s="100"/>
      <c r="AF48" s="100"/>
      <c r="AG48" s="100"/>
      <c r="AH48" s="100"/>
      <c r="AI48" s="100"/>
      <c r="AJ48" s="100"/>
    </row>
    <row r="49" spans="1:40" ht="16.5" customHeight="1" x14ac:dyDescent="0.3">
      <c r="A49" s="129" t="s">
        <v>38</v>
      </c>
      <c r="B49" s="102"/>
      <c r="C49" s="102"/>
      <c r="D49" s="103" t="s">
        <v>687</v>
      </c>
      <c r="E49" s="104" t="s">
        <v>29</v>
      </c>
      <c r="F49" s="40" t="s">
        <v>24</v>
      </c>
      <c r="G49" s="40"/>
      <c r="H49" s="40" t="s">
        <v>544</v>
      </c>
      <c r="I49" s="40" t="s">
        <v>89</v>
      </c>
      <c r="J49" s="105">
        <v>0</v>
      </c>
      <c r="K49" s="40" t="s">
        <v>262</v>
      </c>
      <c r="L49" s="40" t="e">
        <f t="shared" ref="L49:L55" si="8">50/J49</f>
        <v>#DIV/0!</v>
      </c>
      <c r="M49" s="40"/>
      <c r="N49" s="106">
        <v>2017</v>
      </c>
      <c r="O49" s="106" t="s">
        <v>38</v>
      </c>
      <c r="P49" s="106"/>
      <c r="Q49" s="107"/>
      <c r="R49" s="106"/>
      <c r="S49" s="107">
        <v>1</v>
      </c>
      <c r="T49" s="107">
        <v>31</v>
      </c>
      <c r="U49" s="107">
        <v>26</v>
      </c>
      <c r="V49" s="107">
        <v>3.7000000000000002E-3</v>
      </c>
      <c r="W49" s="107"/>
      <c r="X49" s="107">
        <v>33.448599999999999</v>
      </c>
      <c r="Y49" s="99">
        <f t="shared" si="7"/>
        <v>235044.21621621621</v>
      </c>
      <c r="Z49" s="99">
        <v>80</v>
      </c>
      <c r="AA49" s="108">
        <f>Z49*V49/U49</f>
        <v>1.1384615384615385E-2</v>
      </c>
      <c r="AB49" s="108">
        <f>(300*V49)/U49</f>
        <v>4.2692307692307696E-2</v>
      </c>
      <c r="AC49" s="106"/>
      <c r="AD49" s="109" t="s">
        <v>652</v>
      </c>
      <c r="AE49" s="109"/>
      <c r="AF49" s="109">
        <v>2017</v>
      </c>
      <c r="AG49" s="109"/>
      <c r="AH49" s="110" t="s">
        <v>688</v>
      </c>
      <c r="AI49" s="109" t="s">
        <v>689</v>
      </c>
      <c r="AJ49" s="109" t="s">
        <v>609</v>
      </c>
    </row>
    <row r="50" spans="1:40" ht="16.5" customHeight="1" x14ac:dyDescent="0.3">
      <c r="A50" s="102" t="s">
        <v>38</v>
      </c>
      <c r="B50" s="112" t="s">
        <v>89</v>
      </c>
      <c r="C50" s="102"/>
      <c r="D50" s="122" t="s">
        <v>690</v>
      </c>
      <c r="E50" s="144" t="s">
        <v>95</v>
      </c>
      <c r="F50" s="145" t="s">
        <v>40</v>
      </c>
      <c r="G50" s="145"/>
      <c r="H50" s="145" t="s">
        <v>552</v>
      </c>
      <c r="I50" s="145" t="s">
        <v>16</v>
      </c>
      <c r="J50" s="146">
        <v>0.76</v>
      </c>
      <c r="K50" s="145" t="s">
        <v>559</v>
      </c>
      <c r="L50" s="117">
        <f t="shared" si="8"/>
        <v>65.78947368421052</v>
      </c>
      <c r="M50" s="117"/>
      <c r="N50" s="106"/>
      <c r="O50" s="106" t="s">
        <v>38</v>
      </c>
      <c r="P50" s="106"/>
      <c r="Q50" s="107"/>
      <c r="R50" s="106"/>
      <c r="S50" s="107" t="s">
        <v>691</v>
      </c>
      <c r="T50" s="107">
        <v>32</v>
      </c>
      <c r="U50" s="107">
        <v>12</v>
      </c>
      <c r="V50" s="107">
        <v>1.8E-3</v>
      </c>
      <c r="W50" s="107"/>
      <c r="X50" s="107">
        <v>9.8799999999999999E-2</v>
      </c>
      <c r="Y50" s="99">
        <f t="shared" si="7"/>
        <v>658.66666666666663</v>
      </c>
      <c r="Z50" s="99">
        <v>80</v>
      </c>
      <c r="AA50" s="108">
        <f>Z50*V50/U50</f>
        <v>1.1999999999999999E-2</v>
      </c>
      <c r="AB50" s="108"/>
      <c r="AC50" s="106" t="s">
        <v>692</v>
      </c>
      <c r="AD50" s="109"/>
      <c r="AE50" s="109"/>
      <c r="AF50" s="109"/>
      <c r="AG50" s="109"/>
      <c r="AH50" s="109" t="s">
        <v>593</v>
      </c>
      <c r="AI50" s="109" t="s">
        <v>693</v>
      </c>
      <c r="AJ50" s="109" t="s">
        <v>694</v>
      </c>
      <c r="AK50" s="101"/>
      <c r="AL50" s="101"/>
      <c r="AM50" s="101"/>
      <c r="AN50" s="101"/>
    </row>
    <row r="51" spans="1:40" ht="16.5" customHeight="1" x14ac:dyDescent="0.3">
      <c r="A51" s="137" t="s">
        <v>539</v>
      </c>
      <c r="B51" s="112" t="s">
        <v>16</v>
      </c>
      <c r="C51" s="102" t="s">
        <v>553</v>
      </c>
      <c r="D51" s="138" t="s">
        <v>66</v>
      </c>
      <c r="E51" s="139" t="s">
        <v>41</v>
      </c>
      <c r="F51" s="34" t="s">
        <v>40</v>
      </c>
      <c r="G51" s="34"/>
      <c r="H51" s="34" t="s">
        <v>552</v>
      </c>
      <c r="I51" s="34" t="s">
        <v>16</v>
      </c>
      <c r="J51" s="140">
        <v>0.88</v>
      </c>
      <c r="K51" s="34" t="s">
        <v>580</v>
      </c>
      <c r="L51" s="117">
        <f t="shared" si="8"/>
        <v>56.81818181818182</v>
      </c>
      <c r="M51" s="117"/>
      <c r="N51" s="106">
        <v>2017</v>
      </c>
      <c r="O51" s="106" t="s">
        <v>38</v>
      </c>
      <c r="P51" s="106"/>
      <c r="Q51" s="107"/>
      <c r="R51" s="106"/>
      <c r="S51" s="107">
        <v>2</v>
      </c>
      <c r="T51" s="107">
        <v>33</v>
      </c>
      <c r="U51" s="107">
        <v>25</v>
      </c>
      <c r="V51" s="107">
        <v>0.1444</v>
      </c>
      <c r="W51" s="113">
        <f>V51/U51</f>
        <v>5.7759999999999999E-3</v>
      </c>
      <c r="X51" s="107">
        <f>38.8018*2</f>
        <v>77.6036</v>
      </c>
      <c r="Y51" s="99">
        <f t="shared" si="7"/>
        <v>13435.526315789473</v>
      </c>
      <c r="Z51" s="99">
        <v>60</v>
      </c>
      <c r="AA51" s="108">
        <f>Z51*V51/U51</f>
        <v>0.34655999999999998</v>
      </c>
      <c r="AB51" s="108">
        <f>(300*V51)/U51</f>
        <v>1.7328000000000001</v>
      </c>
      <c r="AC51" s="106" t="s">
        <v>695</v>
      </c>
      <c r="AD51" s="109"/>
      <c r="AE51" s="109"/>
      <c r="AF51" s="109"/>
      <c r="AG51" s="109"/>
      <c r="AH51" s="109" t="s">
        <v>597</v>
      </c>
      <c r="AI51" s="109"/>
      <c r="AJ51" s="109" t="s">
        <v>609</v>
      </c>
    </row>
    <row r="52" spans="1:40" ht="16.5" customHeight="1" x14ac:dyDescent="0.3">
      <c r="A52" s="129" t="s">
        <v>38</v>
      </c>
      <c r="B52" s="112" t="s">
        <v>605</v>
      </c>
      <c r="C52" s="102" t="s">
        <v>226</v>
      </c>
      <c r="D52" s="116" t="s">
        <v>84</v>
      </c>
      <c r="E52" s="139" t="s">
        <v>41</v>
      </c>
      <c r="F52" s="34" t="s">
        <v>40</v>
      </c>
      <c r="G52" s="34"/>
      <c r="H52" s="34" t="s">
        <v>544</v>
      </c>
      <c r="I52" s="34" t="s">
        <v>16</v>
      </c>
      <c r="J52" s="140">
        <v>0.32</v>
      </c>
      <c r="K52" s="34" t="s">
        <v>580</v>
      </c>
      <c r="L52" s="117">
        <f t="shared" si="8"/>
        <v>156.25</v>
      </c>
      <c r="M52" s="117"/>
      <c r="N52" s="106">
        <v>2018</v>
      </c>
      <c r="O52" s="106" t="s">
        <v>38</v>
      </c>
      <c r="P52" s="106"/>
      <c r="Q52" s="107"/>
      <c r="R52" s="106"/>
      <c r="S52" s="107">
        <v>2</v>
      </c>
      <c r="T52" s="107">
        <v>34</v>
      </c>
      <c r="U52" s="107">
        <v>12</v>
      </c>
      <c r="V52" s="107">
        <v>2.12E-2</v>
      </c>
      <c r="W52" s="113">
        <f>V52/U52</f>
        <v>1.7666666666666666E-3</v>
      </c>
      <c r="X52" s="107">
        <f>35.7934*2</f>
        <v>71.586799999999997</v>
      </c>
      <c r="Y52" s="99">
        <f t="shared" si="7"/>
        <v>40520.830188679247</v>
      </c>
      <c r="Z52" s="99">
        <v>80</v>
      </c>
      <c r="AA52" s="108">
        <f>Z52*V52/U52</f>
        <v>0.14133333333333334</v>
      </c>
      <c r="AB52" s="108">
        <f>(300*V52)/U52</f>
        <v>0.53</v>
      </c>
      <c r="AC52" s="106" t="s">
        <v>696</v>
      </c>
      <c r="AD52" s="109" t="s">
        <v>697</v>
      </c>
      <c r="AE52" s="109"/>
      <c r="AF52" s="109" t="s">
        <v>698</v>
      </c>
      <c r="AG52" s="109"/>
      <c r="AH52" s="110" t="s">
        <v>688</v>
      </c>
      <c r="AI52" s="109" t="s">
        <v>699</v>
      </c>
      <c r="AJ52" s="109" t="s">
        <v>583</v>
      </c>
      <c r="AK52" s="147"/>
      <c r="AL52" s="147"/>
      <c r="AM52" s="147"/>
      <c r="AN52" s="147"/>
    </row>
    <row r="53" spans="1:40" ht="16.5" customHeight="1" x14ac:dyDescent="0.3">
      <c r="A53" s="129" t="s">
        <v>38</v>
      </c>
      <c r="B53" s="112" t="s">
        <v>16</v>
      </c>
      <c r="C53" s="102" t="s">
        <v>226</v>
      </c>
      <c r="D53" s="103" t="s">
        <v>700</v>
      </c>
      <c r="E53" s="104" t="s">
        <v>68</v>
      </c>
      <c r="F53" s="40" t="s">
        <v>40</v>
      </c>
      <c r="G53" s="40"/>
      <c r="H53" s="40" t="s">
        <v>629</v>
      </c>
      <c r="I53" s="40" t="s">
        <v>16</v>
      </c>
      <c r="J53" s="105">
        <v>0.45</v>
      </c>
      <c r="K53" s="40" t="s">
        <v>580</v>
      </c>
      <c r="L53" s="117">
        <f t="shared" si="8"/>
        <v>111.11111111111111</v>
      </c>
      <c r="M53" s="117"/>
      <c r="N53" s="123">
        <v>2020</v>
      </c>
      <c r="O53" s="123" t="s">
        <v>596</v>
      </c>
      <c r="P53" s="123"/>
      <c r="Q53" s="118" t="s">
        <v>570</v>
      </c>
      <c r="R53" s="119"/>
      <c r="S53" s="124">
        <v>1</v>
      </c>
      <c r="T53" s="124">
        <v>35</v>
      </c>
      <c r="U53" s="124">
        <v>20</v>
      </c>
      <c r="V53" s="124">
        <v>6.1999999999999998E-3</v>
      </c>
      <c r="W53" s="113">
        <f>V53/U53</f>
        <v>3.1E-4</v>
      </c>
      <c r="X53" s="124">
        <v>32.47</v>
      </c>
      <c r="Y53" s="99">
        <f t="shared" si="7"/>
        <v>104741.93548387097</v>
      </c>
      <c r="Z53" s="99">
        <v>45</v>
      </c>
      <c r="AA53" s="108">
        <f>Z53*V53/U53</f>
        <v>1.3949999999999999E-2</v>
      </c>
      <c r="AB53" s="108"/>
      <c r="AC53" s="123" t="s">
        <v>701</v>
      </c>
      <c r="AD53" s="109" t="s">
        <v>702</v>
      </c>
      <c r="AE53" s="109"/>
      <c r="AF53" s="109">
        <v>2016</v>
      </c>
      <c r="AG53" s="109" t="s">
        <v>547</v>
      </c>
      <c r="AH53" s="109" t="s">
        <v>577</v>
      </c>
      <c r="AI53" s="125" t="s">
        <v>703</v>
      </c>
      <c r="AJ53" s="125" t="s">
        <v>644</v>
      </c>
      <c r="AK53" s="101"/>
      <c r="AL53" s="101"/>
      <c r="AM53" s="101"/>
      <c r="AN53" s="101"/>
    </row>
    <row r="54" spans="1:40" x14ac:dyDescent="0.3">
      <c r="A54" s="9" t="s">
        <v>539</v>
      </c>
      <c r="B54" s="36" t="s">
        <v>16</v>
      </c>
      <c r="C54" s="36" t="s">
        <v>553</v>
      </c>
      <c r="D54" s="95" t="s">
        <v>67</v>
      </c>
      <c r="E54" s="104" t="s">
        <v>68</v>
      </c>
      <c r="F54" s="40" t="s">
        <v>40</v>
      </c>
      <c r="G54" s="9"/>
      <c r="H54" s="9" t="s">
        <v>558</v>
      </c>
      <c r="I54" s="9" t="s">
        <v>16</v>
      </c>
      <c r="J54" s="11">
        <v>0.36</v>
      </c>
      <c r="K54" s="9"/>
      <c r="L54" s="40">
        <f t="shared" si="8"/>
        <v>138.88888888888889</v>
      </c>
      <c r="M54" s="40"/>
      <c r="N54" s="98" t="s">
        <v>59</v>
      </c>
      <c r="O54" s="98"/>
      <c r="P54" s="98"/>
      <c r="Q54" s="39"/>
      <c r="R54" s="98"/>
      <c r="S54" s="39"/>
      <c r="T54" s="39">
        <v>48</v>
      </c>
      <c r="U54" s="39">
        <v>66</v>
      </c>
      <c r="V54" s="39">
        <v>1.2699999999999999E-2</v>
      </c>
      <c r="W54" s="113">
        <f>V54/U54</f>
        <v>1.9242424242424242E-4</v>
      </c>
      <c r="X54" s="39">
        <v>0.31309999999999999</v>
      </c>
      <c r="Y54" s="99">
        <f t="shared" si="7"/>
        <v>1627.1338582677165</v>
      </c>
      <c r="Z54" s="39"/>
      <c r="AA54" s="39"/>
      <c r="AB54" s="39"/>
      <c r="AC54" s="98"/>
      <c r="AD54" s="100"/>
      <c r="AE54" s="100"/>
      <c r="AF54" s="100"/>
      <c r="AG54" s="100"/>
      <c r="AH54" s="100"/>
      <c r="AI54" s="100"/>
      <c r="AJ54" s="100"/>
      <c r="AK54" s="101"/>
      <c r="AL54" s="101"/>
      <c r="AM54" s="101"/>
      <c r="AN54" s="101"/>
    </row>
    <row r="55" spans="1:40" x14ac:dyDescent="0.3">
      <c r="A55" s="129" t="s">
        <v>38</v>
      </c>
      <c r="B55" s="102"/>
      <c r="C55" s="102"/>
      <c r="D55" s="103" t="s">
        <v>704</v>
      </c>
      <c r="E55" s="104" t="s">
        <v>543</v>
      </c>
      <c r="F55" s="40" t="s">
        <v>40</v>
      </c>
      <c r="G55" s="40"/>
      <c r="H55" s="40" t="s">
        <v>629</v>
      </c>
      <c r="I55" s="40" t="s">
        <v>89</v>
      </c>
      <c r="J55" s="105">
        <v>0</v>
      </c>
      <c r="K55" s="40" t="s">
        <v>262</v>
      </c>
      <c r="L55" s="40" t="e">
        <f t="shared" si="8"/>
        <v>#DIV/0!</v>
      </c>
      <c r="M55" s="40"/>
      <c r="N55" s="106">
        <v>2019</v>
      </c>
      <c r="O55" s="106" t="s">
        <v>38</v>
      </c>
      <c r="P55" s="106"/>
      <c r="Q55" s="107"/>
      <c r="R55" s="106"/>
      <c r="S55" s="107">
        <v>1</v>
      </c>
      <c r="T55" s="107">
        <v>36</v>
      </c>
      <c r="U55" s="107">
        <v>15</v>
      </c>
      <c r="V55" s="107">
        <v>1.6E-2</v>
      </c>
      <c r="W55" s="107"/>
      <c r="X55" s="107">
        <v>6.9337</v>
      </c>
      <c r="Y55" s="99">
        <f t="shared" si="7"/>
        <v>6500.34375</v>
      </c>
      <c r="Z55" s="99">
        <v>45</v>
      </c>
      <c r="AA55" s="108">
        <f>Z55*V55/U55</f>
        <v>4.8000000000000001E-2</v>
      </c>
      <c r="AB55" s="108">
        <f>(300*V55)/U55</f>
        <v>0.32</v>
      </c>
      <c r="AC55" s="106" t="s">
        <v>705</v>
      </c>
      <c r="AD55" s="109" t="s">
        <v>706</v>
      </c>
      <c r="AE55" s="109"/>
      <c r="AF55" s="109">
        <v>2018</v>
      </c>
      <c r="AG55" s="109" t="s">
        <v>592</v>
      </c>
      <c r="AH55" s="109" t="s">
        <v>654</v>
      </c>
      <c r="AI55" s="109" t="s">
        <v>707</v>
      </c>
      <c r="AJ55" s="109" t="s">
        <v>619</v>
      </c>
      <c r="AK55" s="101"/>
      <c r="AL55" s="101"/>
      <c r="AM55" s="101"/>
      <c r="AN55" s="101"/>
    </row>
  </sheetData>
  <autoFilter ref="A1:AJ55" xr:uid="{6F6D9539-D5CC-45FA-AD81-886016B601D3}">
    <sortState xmlns:xlrd2="http://schemas.microsoft.com/office/spreadsheetml/2017/richdata2" ref="A2:AJ55">
      <sortCondition ref="D1:D55"/>
    </sortState>
  </autoFilter>
  <conditionalFormatting sqref="O2:R11 O12:Q21 O22:R40">
    <cfRule type="containsText" dxfId="11" priority="7" operator="containsText" text="Few">
      <formula>NOT(ISERROR(SEARCH("Few",O2)))</formula>
    </cfRule>
    <cfRule type="containsText" dxfId="10" priority="8" operator="containsText" text="Ask">
      <formula>NOT(ISERROR(SEARCH("Ask",O2)))</formula>
    </cfRule>
    <cfRule type="containsText" dxfId="9" priority="9" operator="containsText" text="nO">
      <formula>NOT(ISERROR(SEARCH("nO",O2)))</formula>
    </cfRule>
    <cfRule type="containsText" dxfId="8" priority="10" operator="containsText" text="nEEDS">
      <formula>NOT(ISERROR(SEARCH("nEEDS",O2)))</formula>
    </cfRule>
    <cfRule type="cellIs" dxfId="7" priority="11" operator="equal">
      <formula>"YES"</formula>
    </cfRule>
  </conditionalFormatting>
  <conditionalFormatting sqref="Y2:Y54">
    <cfRule type="cellIs" dxfId="6" priority="6" operator="lessThan">
      <formula>600</formula>
    </cfRule>
  </conditionalFormatting>
  <conditionalFormatting sqref="G2:G55">
    <cfRule type="expression" dxfId="5" priority="5">
      <formula>ISNUMBER(FIND("round",H2))</formula>
    </cfRule>
  </conditionalFormatting>
  <conditionalFormatting sqref="I2:I55">
    <cfRule type="containsText" dxfId="4" priority="3" operator="containsText" text="yes">
      <formula>NOT(ISERROR(SEARCH("yes",I2)))</formula>
    </cfRule>
    <cfRule type="containsText" dxfId="3" priority="4" operator="containsText" text="no">
      <formula>NOT(ISERROR(SEARCH("no",I2)))</formula>
    </cfRule>
  </conditionalFormatting>
  <conditionalFormatting sqref="K2:K53">
    <cfRule type="containsText" dxfId="2" priority="1" operator="containsText" text="difficult">
      <formula>NOT(ISERROR(SEARCH("difficult",K2)))</formula>
    </cfRule>
    <cfRule type="containsText" dxfId="1" priority="2" operator="containsText" text="easy">
      <formula>NOT(ISERROR(SEARCH("easy",K2)))</formula>
    </cfRule>
  </conditionalFormatting>
  <hyperlinks>
    <hyperlink ref="R25" r:id="rId1" xr:uid="{2F25DD1E-C6EF-4250-BCE1-A1DEC480B208}"/>
    <hyperlink ref="R27" r:id="rId2" xr:uid="{E4D5393F-3F5A-48A6-95CC-372FF808CE78}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F52A-553A-428A-B438-28F874132ECB}">
  <dimension ref="A1:AU44"/>
  <sheetViews>
    <sheetView tabSelected="1" zoomScale="70" zoomScaleNormal="70" workbookViewId="0">
      <pane xSplit="4" ySplit="1" topLeftCell="E14" activePane="bottomRight" state="frozen"/>
      <selection pane="topRight" activeCell="E1" sqref="E1"/>
      <selection pane="bottomLeft" activeCell="A2" sqref="A2"/>
      <selection pane="bottomRight" activeCell="I41" sqref="I41"/>
    </sheetView>
  </sheetViews>
  <sheetFormatPr defaultRowHeight="14.4" x14ac:dyDescent="0.3"/>
  <cols>
    <col min="1" max="1" width="8.88671875" style="47"/>
    <col min="2" max="2" width="9.5546875" style="47" customWidth="1"/>
    <col min="3" max="3" width="18.33203125" style="47" customWidth="1"/>
    <col min="4" max="4" width="27.33203125" style="47" customWidth="1"/>
    <col min="5" max="5" width="18.44140625" style="47" customWidth="1"/>
    <col min="6" max="6" width="23.6640625" style="47" customWidth="1"/>
    <col min="7" max="7" width="16.88671875" style="47" customWidth="1"/>
    <col min="8" max="8" width="15.44140625" style="47" customWidth="1"/>
    <col min="9" max="9" width="16.88671875" style="47" customWidth="1"/>
    <col min="10" max="10" width="26.109375" style="47" customWidth="1"/>
    <col min="11" max="11" width="11.6640625" style="47" customWidth="1"/>
    <col min="12" max="12" width="11.88671875" style="47" customWidth="1"/>
    <col min="13" max="13" width="15" style="47" customWidth="1"/>
    <col min="14" max="14" width="14.109375" style="47" customWidth="1"/>
    <col min="15" max="15" width="14.33203125" style="47" customWidth="1"/>
  </cols>
  <sheetData>
    <row r="1" spans="1:47" s="5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spans="1:47" s="15" customFormat="1" x14ac:dyDescent="0.3">
      <c r="A2" s="6">
        <v>1</v>
      </c>
      <c r="B2" s="7">
        <v>1</v>
      </c>
      <c r="C2" s="8" t="s">
        <v>15</v>
      </c>
      <c r="D2" s="22" t="s">
        <v>39</v>
      </c>
      <c r="E2" s="1" t="s">
        <v>18</v>
      </c>
      <c r="F2" s="23" t="s">
        <v>40</v>
      </c>
      <c r="G2" s="9" t="s">
        <v>41</v>
      </c>
      <c r="H2" s="24">
        <v>0.96</v>
      </c>
      <c r="I2" s="14" t="s">
        <v>42</v>
      </c>
      <c r="J2" s="14" t="s">
        <v>43</v>
      </c>
      <c r="K2" s="14"/>
      <c r="L2" s="14"/>
      <c r="M2" s="25">
        <v>1</v>
      </c>
      <c r="N2" s="14"/>
      <c r="O2" s="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s="19" customFormat="1" x14ac:dyDescent="0.3">
      <c r="A3" s="7">
        <v>2</v>
      </c>
      <c r="B3" s="7">
        <v>2</v>
      </c>
      <c r="C3" s="7" t="s">
        <v>15</v>
      </c>
      <c r="D3" s="16" t="s">
        <v>47</v>
      </c>
      <c r="E3" s="27" t="s">
        <v>48</v>
      </c>
      <c r="F3" s="9"/>
      <c r="G3" s="9"/>
      <c r="H3" s="11">
        <v>0.8</v>
      </c>
      <c r="I3" s="14" t="s">
        <v>42</v>
      </c>
      <c r="J3" s="9" t="s">
        <v>26</v>
      </c>
      <c r="K3" s="9"/>
      <c r="L3" s="9"/>
      <c r="M3" s="18">
        <v>1</v>
      </c>
      <c r="N3" s="9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7" s="19" customFormat="1" x14ac:dyDescent="0.3">
      <c r="A4" s="7">
        <v>3</v>
      </c>
      <c r="B4" s="7">
        <v>3</v>
      </c>
      <c r="C4" s="8" t="s">
        <v>15</v>
      </c>
      <c r="D4" s="16" t="s">
        <v>49</v>
      </c>
      <c r="E4" s="28" t="s">
        <v>50</v>
      </c>
      <c r="F4" s="9"/>
      <c r="G4" s="9"/>
      <c r="H4" s="11">
        <v>0.5</v>
      </c>
      <c r="I4" s="14" t="s">
        <v>42</v>
      </c>
      <c r="J4" s="9" t="s">
        <v>26</v>
      </c>
      <c r="K4" s="9"/>
      <c r="L4" s="9"/>
      <c r="M4" s="18">
        <v>1</v>
      </c>
      <c r="N4" s="9"/>
      <c r="O4" s="9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s="19" customFormat="1" x14ac:dyDescent="0.3">
      <c r="A5" s="7">
        <v>4</v>
      </c>
      <c r="B5" s="7">
        <v>4</v>
      </c>
      <c r="C5" s="7" t="s">
        <v>15</v>
      </c>
      <c r="D5" s="9" t="s">
        <v>31</v>
      </c>
      <c r="E5" s="9" t="s">
        <v>18</v>
      </c>
      <c r="F5" s="17" t="s">
        <v>24</v>
      </c>
      <c r="G5" s="9" t="s">
        <v>32</v>
      </c>
      <c r="H5" s="11">
        <v>0.22</v>
      </c>
      <c r="I5" s="9" t="s">
        <v>21</v>
      </c>
      <c r="J5" s="9" t="s">
        <v>26</v>
      </c>
      <c r="K5" s="9"/>
      <c r="L5" s="13" t="s">
        <v>27</v>
      </c>
      <c r="M5" s="9"/>
      <c r="N5" s="9"/>
      <c r="O5" s="9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s="19" customFormat="1" x14ac:dyDescent="0.3">
      <c r="A6" s="7">
        <v>5</v>
      </c>
      <c r="B6" s="7">
        <v>5</v>
      </c>
      <c r="C6" s="8" t="s">
        <v>15</v>
      </c>
      <c r="D6" s="9" t="s">
        <v>90</v>
      </c>
      <c r="E6" s="9" t="s">
        <v>18</v>
      </c>
      <c r="F6" s="17" t="s">
        <v>24</v>
      </c>
      <c r="G6" s="9" t="s">
        <v>25</v>
      </c>
      <c r="H6" s="11">
        <v>0.68</v>
      </c>
      <c r="I6" s="9" t="s">
        <v>21</v>
      </c>
      <c r="J6" s="9" t="s">
        <v>26</v>
      </c>
      <c r="K6" s="9"/>
      <c r="L6" s="13"/>
      <c r="M6" s="9"/>
      <c r="N6" s="9"/>
      <c r="O6" s="9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s="19" customFormat="1" x14ac:dyDescent="0.3">
      <c r="A7" s="6">
        <v>6</v>
      </c>
      <c r="B7" s="7">
        <v>6</v>
      </c>
      <c r="C7" s="7" t="s">
        <v>15</v>
      </c>
      <c r="D7" s="16" t="s">
        <v>23</v>
      </c>
      <c r="E7" s="9" t="s">
        <v>18</v>
      </c>
      <c r="F7" s="17" t="s">
        <v>24</v>
      </c>
      <c r="G7" s="9" t="s">
        <v>25</v>
      </c>
      <c r="H7" s="11">
        <v>1</v>
      </c>
      <c r="I7" s="9" t="s">
        <v>21</v>
      </c>
      <c r="J7" s="9" t="s">
        <v>26</v>
      </c>
      <c r="K7" s="9"/>
      <c r="L7" s="13" t="s">
        <v>27</v>
      </c>
      <c r="M7" s="18">
        <v>1</v>
      </c>
      <c r="N7" s="9" t="s">
        <v>38</v>
      </c>
      <c r="O7" s="9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s="19" customFormat="1" x14ac:dyDescent="0.3">
      <c r="A8" s="7">
        <v>7</v>
      </c>
      <c r="B8" s="7">
        <v>7</v>
      </c>
      <c r="C8" s="8" t="s">
        <v>15</v>
      </c>
      <c r="D8" s="9" t="s">
        <v>28</v>
      </c>
      <c r="E8" s="9" t="s">
        <v>18</v>
      </c>
      <c r="F8" s="17" t="s">
        <v>24</v>
      </c>
      <c r="G8" s="9" t="s">
        <v>29</v>
      </c>
      <c r="H8" s="11">
        <v>0.82</v>
      </c>
      <c r="I8" s="9" t="s">
        <v>21</v>
      </c>
      <c r="J8" s="9" t="s">
        <v>30</v>
      </c>
      <c r="K8" s="9"/>
      <c r="L8" s="13" t="s">
        <v>27</v>
      </c>
      <c r="M8" s="9"/>
      <c r="N8" s="9"/>
      <c r="O8" s="9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s="19" customFormat="1" x14ac:dyDescent="0.3">
      <c r="A9" s="7">
        <v>8</v>
      </c>
      <c r="B9" s="7">
        <v>8</v>
      </c>
      <c r="C9" s="7" t="s">
        <v>15</v>
      </c>
      <c r="D9" s="9" t="s">
        <v>36</v>
      </c>
      <c r="E9" s="9" t="s">
        <v>18</v>
      </c>
      <c r="F9" s="17" t="s">
        <v>24</v>
      </c>
      <c r="G9" s="9" t="s">
        <v>37</v>
      </c>
      <c r="H9" s="11">
        <v>0.72</v>
      </c>
      <c r="I9" s="9" t="s">
        <v>21</v>
      </c>
      <c r="J9" s="9" t="s">
        <v>26</v>
      </c>
      <c r="K9" s="12">
        <v>1</v>
      </c>
      <c r="L9" s="13"/>
      <c r="M9" s="18">
        <v>1</v>
      </c>
      <c r="N9" s="9"/>
      <c r="O9" s="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s="19" customFormat="1" x14ac:dyDescent="0.3">
      <c r="A10" s="7">
        <v>9</v>
      </c>
      <c r="B10" s="7">
        <v>9</v>
      </c>
      <c r="C10" s="8" t="s">
        <v>15</v>
      </c>
      <c r="D10" s="9" t="s">
        <v>44</v>
      </c>
      <c r="E10" s="9" t="s">
        <v>18</v>
      </c>
      <c r="F10" s="26" t="s">
        <v>45</v>
      </c>
      <c r="G10" s="9" t="s">
        <v>46</v>
      </c>
      <c r="H10" s="11">
        <v>0.7</v>
      </c>
      <c r="I10" s="9" t="s">
        <v>21</v>
      </c>
      <c r="J10" s="9" t="s">
        <v>26</v>
      </c>
      <c r="K10" s="9"/>
      <c r="L10" s="13" t="s">
        <v>27</v>
      </c>
      <c r="M10" s="18">
        <v>1</v>
      </c>
      <c r="N10" s="9"/>
      <c r="O10" s="9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s="19" customFormat="1" x14ac:dyDescent="0.3">
      <c r="A11" s="7">
        <v>10</v>
      </c>
      <c r="B11" s="7">
        <v>10</v>
      </c>
      <c r="C11" s="7" t="s">
        <v>15</v>
      </c>
      <c r="D11" s="16" t="s">
        <v>91</v>
      </c>
      <c r="E11" s="9" t="s">
        <v>18</v>
      </c>
      <c r="F11" s="17" t="s">
        <v>24</v>
      </c>
      <c r="G11" s="9" t="s">
        <v>25</v>
      </c>
      <c r="H11" s="11">
        <v>0.83</v>
      </c>
      <c r="I11" s="9" t="s">
        <v>21</v>
      </c>
      <c r="J11" s="9" t="s">
        <v>35</v>
      </c>
      <c r="K11" s="9"/>
      <c r="L11" s="13"/>
      <c r="M11" s="18">
        <v>1</v>
      </c>
      <c r="N11" s="9"/>
      <c r="O11" s="9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s="29" customFormat="1" x14ac:dyDescent="0.3">
      <c r="A12" s="6">
        <v>11</v>
      </c>
      <c r="B12" s="7">
        <v>11</v>
      </c>
      <c r="C12" s="8" t="s">
        <v>15</v>
      </c>
      <c r="D12" s="9" t="s">
        <v>17</v>
      </c>
      <c r="E12" s="9" t="s">
        <v>18</v>
      </c>
      <c r="F12" s="10" t="s">
        <v>19</v>
      </c>
      <c r="G12" s="9" t="s">
        <v>20</v>
      </c>
      <c r="H12" s="11">
        <v>0.6</v>
      </c>
      <c r="I12" s="9" t="s">
        <v>21</v>
      </c>
      <c r="J12" s="9" t="s">
        <v>22</v>
      </c>
      <c r="K12" s="12">
        <v>1</v>
      </c>
      <c r="L12" s="13"/>
      <c r="M12" s="9"/>
      <c r="N12" s="9"/>
      <c r="O12" s="9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s="29" customFormat="1" x14ac:dyDescent="0.3">
      <c r="A13" s="20">
        <v>12</v>
      </c>
      <c r="B13" s="21">
        <v>12</v>
      </c>
      <c r="C13" s="8" t="s">
        <v>15</v>
      </c>
      <c r="D13" s="9" t="s">
        <v>33</v>
      </c>
      <c r="E13" s="9" t="s">
        <v>18</v>
      </c>
      <c r="F13" s="17" t="s">
        <v>24</v>
      </c>
      <c r="G13" s="9" t="s">
        <v>34</v>
      </c>
      <c r="H13" s="11">
        <v>0.38</v>
      </c>
      <c r="I13" s="9" t="s">
        <v>21</v>
      </c>
      <c r="J13" s="9" t="s">
        <v>35</v>
      </c>
      <c r="K13" s="9"/>
      <c r="L13" s="13"/>
      <c r="M13" s="9"/>
      <c r="N13" s="9"/>
      <c r="O13" s="9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s="29" customFormat="1" x14ac:dyDescent="0.3">
      <c r="A14" s="20">
        <v>13</v>
      </c>
      <c r="B14" s="21">
        <v>13</v>
      </c>
      <c r="C14" s="8" t="s">
        <v>51</v>
      </c>
      <c r="D14" s="9" t="s">
        <v>52</v>
      </c>
      <c r="E14" s="9" t="s">
        <v>18</v>
      </c>
      <c r="F14" s="10" t="s">
        <v>19</v>
      </c>
      <c r="G14" s="9" t="s">
        <v>53</v>
      </c>
      <c r="H14" s="31">
        <v>0.95</v>
      </c>
      <c r="I14" s="9" t="s">
        <v>21</v>
      </c>
      <c r="J14" s="9" t="s">
        <v>22</v>
      </c>
      <c r="K14" s="9"/>
      <c r="L14" s="13" t="s">
        <v>27</v>
      </c>
      <c r="M14" s="9"/>
      <c r="N14" s="9"/>
      <c r="O14" s="9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s="32" customFormat="1" x14ac:dyDescent="0.3">
      <c r="A15" s="30">
        <v>14</v>
      </c>
      <c r="B15" s="30">
        <v>1</v>
      </c>
      <c r="C15" s="30" t="s">
        <v>54</v>
      </c>
      <c r="D15" s="35" t="s">
        <v>39</v>
      </c>
      <c r="E15" s="36" t="s">
        <v>18</v>
      </c>
      <c r="F15" s="37" t="s">
        <v>40</v>
      </c>
      <c r="G15" s="9" t="s">
        <v>41</v>
      </c>
      <c r="H15" s="11">
        <v>0.96</v>
      </c>
      <c r="I15" s="9" t="s">
        <v>42</v>
      </c>
      <c r="J15" s="14" t="s">
        <v>43</v>
      </c>
      <c r="K15" s="14"/>
      <c r="L15" s="9"/>
      <c r="M15" s="18">
        <v>1</v>
      </c>
      <c r="N15" s="9"/>
      <c r="O15" s="9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s="32" customFormat="1" x14ac:dyDescent="0.3">
      <c r="A16" s="30">
        <v>15</v>
      </c>
      <c r="B16" s="30">
        <v>2</v>
      </c>
      <c r="C16" s="30" t="s">
        <v>54</v>
      </c>
      <c r="D16" s="16" t="s">
        <v>69</v>
      </c>
      <c r="E16" s="27" t="s">
        <v>48</v>
      </c>
      <c r="F16" s="9"/>
      <c r="G16" s="9"/>
      <c r="H16" s="11">
        <v>0.5</v>
      </c>
      <c r="I16" s="9" t="s">
        <v>59</v>
      </c>
      <c r="J16" s="9" t="s">
        <v>26</v>
      </c>
      <c r="K16" s="9"/>
      <c r="L16" s="9"/>
      <c r="M16" s="18">
        <v>1</v>
      </c>
      <c r="N16" s="9"/>
      <c r="O16" s="9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s="32" customFormat="1" x14ac:dyDescent="0.3">
      <c r="A17" s="30">
        <v>16</v>
      </c>
      <c r="B17" s="30">
        <v>3</v>
      </c>
      <c r="C17" s="30" t="s">
        <v>54</v>
      </c>
      <c r="D17" s="16" t="s">
        <v>64</v>
      </c>
      <c r="E17" s="28" t="s">
        <v>50</v>
      </c>
      <c r="F17" s="37" t="s">
        <v>40</v>
      </c>
      <c r="G17" s="9" t="s">
        <v>41</v>
      </c>
      <c r="H17" s="11">
        <v>0.7</v>
      </c>
      <c r="I17" s="9" t="s">
        <v>21</v>
      </c>
      <c r="J17" s="9" t="s">
        <v>26</v>
      </c>
      <c r="K17" s="9"/>
      <c r="L17" s="9"/>
      <c r="M17" s="18">
        <v>1</v>
      </c>
      <c r="N17" s="9"/>
      <c r="O17" s="9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s="32" customFormat="1" x14ac:dyDescent="0.3">
      <c r="A18" s="30">
        <v>17</v>
      </c>
      <c r="B18" s="30">
        <v>4</v>
      </c>
      <c r="C18" s="30" t="s">
        <v>54</v>
      </c>
      <c r="D18" s="16" t="s">
        <v>58</v>
      </c>
      <c r="E18" s="9" t="s">
        <v>18</v>
      </c>
      <c r="F18" s="17" t="s">
        <v>24</v>
      </c>
      <c r="G18" s="9" t="s">
        <v>264</v>
      </c>
      <c r="H18" s="11">
        <v>0.5</v>
      </c>
      <c r="I18" s="9" t="s">
        <v>21</v>
      </c>
      <c r="J18" s="9" t="s">
        <v>30</v>
      </c>
      <c r="K18" s="9"/>
      <c r="L18" s="13" t="s">
        <v>27</v>
      </c>
      <c r="M18" s="18">
        <v>1</v>
      </c>
      <c r="N18" s="9"/>
      <c r="O18" s="38">
        <v>1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s="32" customFormat="1" x14ac:dyDescent="0.3">
      <c r="A19" s="30">
        <v>18</v>
      </c>
      <c r="B19" s="30">
        <v>5</v>
      </c>
      <c r="C19" s="30" t="s">
        <v>54</v>
      </c>
      <c r="D19" s="9" t="s">
        <v>60</v>
      </c>
      <c r="E19" s="9" t="s">
        <v>18</v>
      </c>
      <c r="F19" s="17" t="s">
        <v>24</v>
      </c>
      <c r="G19" s="9" t="s">
        <v>25</v>
      </c>
      <c r="H19" s="11">
        <v>0.96</v>
      </c>
      <c r="I19" s="9" t="s">
        <v>42</v>
      </c>
      <c r="J19" s="9" t="s">
        <v>35</v>
      </c>
      <c r="K19" s="9"/>
      <c r="L19" s="9"/>
      <c r="M19" s="18">
        <v>1</v>
      </c>
      <c r="N19" s="9"/>
      <c r="O19" s="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s="32" customFormat="1" x14ac:dyDescent="0.3">
      <c r="A20" s="30">
        <v>19</v>
      </c>
      <c r="B20" s="30">
        <v>6</v>
      </c>
      <c r="C20" s="30" t="s">
        <v>54</v>
      </c>
      <c r="D20" s="9" t="s">
        <v>55</v>
      </c>
      <c r="E20" s="9" t="s">
        <v>18</v>
      </c>
      <c r="F20" s="10" t="s">
        <v>19</v>
      </c>
      <c r="G20" s="9" t="s">
        <v>56</v>
      </c>
      <c r="H20" s="11">
        <v>0.75</v>
      </c>
      <c r="I20" s="9" t="s">
        <v>21</v>
      </c>
      <c r="J20" s="9" t="s">
        <v>57</v>
      </c>
      <c r="K20" s="9"/>
      <c r="L20" s="9"/>
      <c r="M20" s="9"/>
      <c r="N20" s="9"/>
      <c r="O20" s="9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32" customFormat="1" x14ac:dyDescent="0.3">
      <c r="A21" s="30">
        <v>20</v>
      </c>
      <c r="B21" s="30">
        <v>7</v>
      </c>
      <c r="C21" s="30" t="s">
        <v>54</v>
      </c>
      <c r="D21" s="9" t="s">
        <v>93</v>
      </c>
      <c r="E21" s="9" t="s">
        <v>18</v>
      </c>
      <c r="F21" s="17" t="s">
        <v>24</v>
      </c>
      <c r="G21" s="9" t="s">
        <v>34</v>
      </c>
      <c r="H21" s="11">
        <v>0.95</v>
      </c>
      <c r="I21" s="9" t="s">
        <v>21</v>
      </c>
      <c r="J21" s="34" t="s">
        <v>86</v>
      </c>
      <c r="K21" s="34"/>
      <c r="L21" s="9"/>
      <c r="M21" s="9"/>
      <c r="N21" s="9"/>
      <c r="O21" s="9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s="32" customFormat="1" x14ac:dyDescent="0.3">
      <c r="A22" s="30">
        <v>21</v>
      </c>
      <c r="B22" s="30">
        <v>8</v>
      </c>
      <c r="C22" s="30" t="s">
        <v>54</v>
      </c>
      <c r="D22" s="9" t="s">
        <v>61</v>
      </c>
      <c r="E22" s="9" t="s">
        <v>18</v>
      </c>
      <c r="F22" s="17" t="s">
        <v>24</v>
      </c>
      <c r="G22" s="33" t="s">
        <v>62</v>
      </c>
      <c r="H22" s="11">
        <v>0.68</v>
      </c>
      <c r="I22" s="9" t="s">
        <v>21</v>
      </c>
      <c r="J22" s="34" t="s">
        <v>63</v>
      </c>
      <c r="K22" s="34"/>
      <c r="L22" s="9"/>
      <c r="M22" s="18">
        <v>1</v>
      </c>
      <c r="N22" s="9"/>
      <c r="O22" s="9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s="32" customFormat="1" x14ac:dyDescent="0.3">
      <c r="A23" s="30">
        <v>22</v>
      </c>
      <c r="B23" s="30">
        <v>9</v>
      </c>
      <c r="C23" s="30" t="s">
        <v>54</v>
      </c>
      <c r="D23" s="9" t="s">
        <v>65</v>
      </c>
      <c r="E23" s="9" t="s">
        <v>18</v>
      </c>
      <c r="F23" s="37" t="s">
        <v>40</v>
      </c>
      <c r="G23" s="9" t="s">
        <v>41</v>
      </c>
      <c r="H23" s="11">
        <v>0.8</v>
      </c>
      <c r="I23" s="9" t="s">
        <v>21</v>
      </c>
      <c r="J23" s="9" t="s">
        <v>35</v>
      </c>
      <c r="K23" s="9"/>
      <c r="L23" s="33"/>
      <c r="M23" s="18">
        <v>1</v>
      </c>
      <c r="N23" s="33"/>
      <c r="O23" s="9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s="32" customFormat="1" x14ac:dyDescent="0.3">
      <c r="A24" s="30">
        <v>23</v>
      </c>
      <c r="B24" s="30">
        <v>10</v>
      </c>
      <c r="C24" s="30" t="s">
        <v>54</v>
      </c>
      <c r="D24" s="9" t="s">
        <v>94</v>
      </c>
      <c r="E24" s="9" t="s">
        <v>18</v>
      </c>
      <c r="F24" s="37" t="s">
        <v>40</v>
      </c>
      <c r="G24" s="9" t="s">
        <v>95</v>
      </c>
      <c r="H24" s="11">
        <v>0.76</v>
      </c>
      <c r="I24" s="9" t="s">
        <v>21</v>
      </c>
      <c r="J24" s="9" t="s">
        <v>26</v>
      </c>
      <c r="K24" s="12">
        <v>1</v>
      </c>
      <c r="L24" s="13" t="s">
        <v>27</v>
      </c>
      <c r="M24" s="18">
        <v>1</v>
      </c>
      <c r="N24" s="9"/>
      <c r="O24" s="9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s="32" customFormat="1" x14ac:dyDescent="0.3">
      <c r="A25" s="30">
        <v>24</v>
      </c>
      <c r="B25" s="30">
        <v>11</v>
      </c>
      <c r="C25" s="30" t="s">
        <v>54</v>
      </c>
      <c r="D25" s="9" t="s">
        <v>66</v>
      </c>
      <c r="E25" s="9" t="s">
        <v>18</v>
      </c>
      <c r="F25" s="37" t="s">
        <v>40</v>
      </c>
      <c r="G25" s="9" t="s">
        <v>41</v>
      </c>
      <c r="H25" s="11">
        <v>0.88</v>
      </c>
      <c r="I25" s="9" t="s">
        <v>21</v>
      </c>
      <c r="J25" s="9" t="s">
        <v>26</v>
      </c>
      <c r="K25" s="9"/>
      <c r="L25" s="9"/>
      <c r="M25" s="18">
        <v>1</v>
      </c>
      <c r="N25" s="9"/>
      <c r="O25" s="9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s="42" customFormat="1" x14ac:dyDescent="0.3">
      <c r="A26" s="39">
        <v>25</v>
      </c>
      <c r="B26" s="39">
        <v>12</v>
      </c>
      <c r="C26" s="8" t="s">
        <v>51</v>
      </c>
      <c r="D26" s="9" t="s">
        <v>96</v>
      </c>
      <c r="E26" s="9" t="s">
        <v>18</v>
      </c>
      <c r="F26" s="149" t="s">
        <v>24</v>
      </c>
      <c r="G26" s="33" t="s">
        <v>62</v>
      </c>
      <c r="H26" s="24">
        <v>0.26</v>
      </c>
      <c r="I26" s="9" t="s">
        <v>21</v>
      </c>
      <c r="J26" s="9" t="s">
        <v>26</v>
      </c>
      <c r="K26" s="9"/>
      <c r="L26" s="9"/>
      <c r="M26" s="18">
        <v>1</v>
      </c>
      <c r="N26" s="9"/>
      <c r="O26" s="9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s="42" customFormat="1" x14ac:dyDescent="0.3">
      <c r="A27" s="39">
        <v>26</v>
      </c>
      <c r="B27" s="39">
        <v>13</v>
      </c>
      <c r="C27" s="30" t="s">
        <v>54</v>
      </c>
      <c r="D27" s="9" t="s">
        <v>92</v>
      </c>
      <c r="E27" s="9" t="s">
        <v>18</v>
      </c>
      <c r="F27" s="17" t="s">
        <v>24</v>
      </c>
      <c r="G27" s="9" t="s">
        <v>32</v>
      </c>
      <c r="H27" s="11">
        <v>0.5</v>
      </c>
      <c r="I27" s="9" t="s">
        <v>21</v>
      </c>
      <c r="J27" s="9" t="s">
        <v>30</v>
      </c>
      <c r="K27" s="9"/>
      <c r="L27" s="9"/>
      <c r="M27" s="9"/>
      <c r="N27" s="9"/>
      <c r="O27" s="9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s="42" customFormat="1" x14ac:dyDescent="0.3">
      <c r="A28" s="39">
        <v>27</v>
      </c>
      <c r="B28" s="39">
        <v>14</v>
      </c>
      <c r="C28" s="30" t="s">
        <v>54</v>
      </c>
      <c r="D28" s="9" t="s">
        <v>67</v>
      </c>
      <c r="E28" s="9" t="s">
        <v>18</v>
      </c>
      <c r="F28" s="37" t="s">
        <v>40</v>
      </c>
      <c r="G28" s="40" t="s">
        <v>68</v>
      </c>
      <c r="H28" s="11">
        <v>0.36</v>
      </c>
      <c r="I28" s="9" t="s">
        <v>21</v>
      </c>
      <c r="J28" s="9" t="s">
        <v>26</v>
      </c>
      <c r="K28" s="9"/>
      <c r="L28" s="9"/>
      <c r="M28" s="18">
        <v>1</v>
      </c>
      <c r="N28" s="9"/>
      <c r="O28" s="9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47" s="42" customFormat="1" x14ac:dyDescent="0.3">
      <c r="A29" s="39">
        <v>28</v>
      </c>
      <c r="B29" s="39">
        <v>15</v>
      </c>
      <c r="C29" s="30" t="s">
        <v>97</v>
      </c>
      <c r="D29" s="9" t="s">
        <v>98</v>
      </c>
      <c r="E29" s="9" t="s">
        <v>18</v>
      </c>
      <c r="F29" s="17" t="s">
        <v>24</v>
      </c>
      <c r="G29" s="40" t="s">
        <v>29</v>
      </c>
      <c r="H29" s="11">
        <v>0.25</v>
      </c>
      <c r="I29" s="9" t="s">
        <v>21</v>
      </c>
      <c r="J29" s="9" t="s">
        <v>86</v>
      </c>
      <c r="K29" s="9"/>
      <c r="L29" s="9"/>
      <c r="M29" s="9"/>
      <c r="N29" s="9"/>
      <c r="O29" s="38">
        <v>1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 s="45" customFormat="1" x14ac:dyDescent="0.3">
      <c r="A30" s="41">
        <v>29</v>
      </c>
      <c r="B30" s="41">
        <v>1</v>
      </c>
      <c r="C30" s="41" t="s">
        <v>70</v>
      </c>
      <c r="D30" s="35" t="s">
        <v>39</v>
      </c>
      <c r="E30" s="36" t="s">
        <v>18</v>
      </c>
      <c r="F30" s="37" t="s">
        <v>40</v>
      </c>
      <c r="G30" s="9" t="s">
        <v>41</v>
      </c>
      <c r="H30" s="11">
        <v>0.96</v>
      </c>
      <c r="I30" s="9" t="s">
        <v>42</v>
      </c>
      <c r="J30" s="9" t="s">
        <v>26</v>
      </c>
      <c r="K30" s="9"/>
      <c r="L30" s="9"/>
      <c r="M30" s="18">
        <v>1</v>
      </c>
      <c r="N30" s="9"/>
      <c r="O30" s="9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 s="45" customFormat="1" x14ac:dyDescent="0.3">
      <c r="A31" s="41">
        <v>30</v>
      </c>
      <c r="B31" s="41">
        <v>2</v>
      </c>
      <c r="C31" s="41" t="s">
        <v>70</v>
      </c>
      <c r="D31" s="16" t="s">
        <v>79</v>
      </c>
      <c r="E31" s="43" t="s">
        <v>80</v>
      </c>
      <c r="F31" s="9"/>
      <c r="G31" s="9"/>
      <c r="H31" s="11">
        <v>0.8</v>
      </c>
      <c r="I31" s="9" t="s">
        <v>42</v>
      </c>
      <c r="J31" s="9" t="s">
        <v>26</v>
      </c>
      <c r="K31" s="9"/>
      <c r="L31" s="9"/>
      <c r="M31" s="18">
        <v>1</v>
      </c>
      <c r="N31" s="9"/>
      <c r="O31" s="9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 s="45" customFormat="1" x14ac:dyDescent="0.3">
      <c r="A32" s="41">
        <v>31</v>
      </c>
      <c r="B32" s="41">
        <v>3</v>
      </c>
      <c r="C32" s="41" t="s">
        <v>70</v>
      </c>
      <c r="D32" s="16" t="s">
        <v>81</v>
      </c>
      <c r="E32" s="43" t="s">
        <v>80</v>
      </c>
      <c r="F32" s="9"/>
      <c r="G32" s="9"/>
      <c r="H32" s="11">
        <v>0.33</v>
      </c>
      <c r="I32" s="9" t="s">
        <v>42</v>
      </c>
      <c r="J32" s="13" t="s">
        <v>22</v>
      </c>
      <c r="K32" s="13"/>
      <c r="L32" s="9"/>
      <c r="M32" s="18">
        <v>1</v>
      </c>
      <c r="N32" s="9"/>
      <c r="O32" s="9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s="45" customFormat="1" x14ac:dyDescent="0.3">
      <c r="A33" s="41">
        <v>32</v>
      </c>
      <c r="B33" s="41">
        <v>4</v>
      </c>
      <c r="C33" s="41" t="s">
        <v>70</v>
      </c>
      <c r="D33" s="16" t="s">
        <v>82</v>
      </c>
      <c r="E33" s="44" t="s">
        <v>83</v>
      </c>
      <c r="F33" s="9"/>
      <c r="G33" s="9"/>
      <c r="H33" s="11">
        <v>1</v>
      </c>
      <c r="I33" s="9" t="s">
        <v>42</v>
      </c>
      <c r="J33" s="9" t="s">
        <v>26</v>
      </c>
      <c r="K33" s="9"/>
      <c r="L33" s="9"/>
      <c r="M33" s="18">
        <v>1</v>
      </c>
      <c r="N33" s="9"/>
      <c r="O33" s="9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s="45" customFormat="1" x14ac:dyDescent="0.3">
      <c r="A34" s="41">
        <v>33</v>
      </c>
      <c r="B34" s="41">
        <v>5</v>
      </c>
      <c r="C34" s="41" t="s">
        <v>70</v>
      </c>
      <c r="D34" s="16" t="s">
        <v>102</v>
      </c>
      <c r="E34" s="44" t="s">
        <v>83</v>
      </c>
      <c r="F34" s="9"/>
      <c r="G34" s="9"/>
      <c r="H34" s="11">
        <v>0.3</v>
      </c>
      <c r="I34" s="9" t="s">
        <v>42</v>
      </c>
      <c r="J34" s="9" t="s">
        <v>26</v>
      </c>
      <c r="K34" s="9"/>
      <c r="L34" s="9"/>
      <c r="M34" s="18">
        <v>1</v>
      </c>
      <c r="N34" s="9"/>
      <c r="O34" s="9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s="45" customFormat="1" x14ac:dyDescent="0.3">
      <c r="A35" s="41">
        <v>34</v>
      </c>
      <c r="B35" s="41">
        <v>6</v>
      </c>
      <c r="C35" s="41" t="s">
        <v>70</v>
      </c>
      <c r="D35" s="9" t="s">
        <v>75</v>
      </c>
      <c r="E35" s="9" t="s">
        <v>18</v>
      </c>
      <c r="F35" s="37" t="s">
        <v>40</v>
      </c>
      <c r="G35" s="9" t="s">
        <v>41</v>
      </c>
      <c r="H35" s="11">
        <v>0.48</v>
      </c>
      <c r="I35" s="9" t="s">
        <v>21</v>
      </c>
      <c r="J35" s="13" t="s">
        <v>76</v>
      </c>
      <c r="K35" s="13"/>
      <c r="L35" s="9"/>
      <c r="M35" s="18">
        <v>1</v>
      </c>
      <c r="N35" s="9"/>
      <c r="O35" s="9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s="45" customFormat="1" x14ac:dyDescent="0.3">
      <c r="A36" s="41">
        <v>35</v>
      </c>
      <c r="B36" s="41">
        <v>7</v>
      </c>
      <c r="C36" s="41" t="s">
        <v>70</v>
      </c>
      <c r="D36" s="9" t="s">
        <v>100</v>
      </c>
      <c r="E36" s="9" t="s">
        <v>18</v>
      </c>
      <c r="F36" s="26" t="s">
        <v>45</v>
      </c>
      <c r="G36" s="9" t="s">
        <v>101</v>
      </c>
      <c r="H36" s="13">
        <v>0</v>
      </c>
      <c r="I36" s="9" t="s">
        <v>21</v>
      </c>
      <c r="J36" s="13" t="s">
        <v>86</v>
      </c>
      <c r="K36" s="13"/>
      <c r="L36" s="9"/>
      <c r="M36" s="9"/>
      <c r="N36" s="9"/>
      <c r="O36" s="9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s="45" customFormat="1" x14ac:dyDescent="0.3">
      <c r="A37" s="41">
        <v>36</v>
      </c>
      <c r="B37" s="41">
        <v>8</v>
      </c>
      <c r="C37" s="41" t="s">
        <v>70</v>
      </c>
      <c r="D37" s="9" t="s">
        <v>73</v>
      </c>
      <c r="E37" s="9" t="s">
        <v>18</v>
      </c>
      <c r="F37" s="10" t="s">
        <v>19</v>
      </c>
      <c r="G37" s="9" t="s">
        <v>74</v>
      </c>
      <c r="H37" s="11">
        <v>0.2</v>
      </c>
      <c r="I37" s="9" t="s">
        <v>42</v>
      </c>
      <c r="J37" s="9" t="s">
        <v>26</v>
      </c>
      <c r="K37" s="9"/>
      <c r="L37" s="9"/>
      <c r="M37" s="18">
        <v>1</v>
      </c>
      <c r="N37" s="9"/>
      <c r="O37" s="38">
        <v>1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s="45" customFormat="1" x14ac:dyDescent="0.3">
      <c r="A38" s="41">
        <v>37</v>
      </c>
      <c r="B38" s="41">
        <v>9</v>
      </c>
      <c r="C38" s="41" t="s">
        <v>70</v>
      </c>
      <c r="D38" s="9" t="s">
        <v>71</v>
      </c>
      <c r="E38" s="9" t="s">
        <v>18</v>
      </c>
      <c r="F38" s="10" t="s">
        <v>19</v>
      </c>
      <c r="G38" s="9" t="s">
        <v>72</v>
      </c>
      <c r="H38" s="11">
        <v>0.85</v>
      </c>
      <c r="I38" s="9" t="s">
        <v>21</v>
      </c>
      <c r="J38" s="9" t="s">
        <v>30</v>
      </c>
      <c r="K38" s="9"/>
      <c r="L38" s="9"/>
      <c r="M38" s="9"/>
      <c r="N38" s="9"/>
      <c r="O38" s="9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s="45" customFormat="1" x14ac:dyDescent="0.3">
      <c r="A39" s="41">
        <v>38</v>
      </c>
      <c r="B39" s="41">
        <v>10</v>
      </c>
      <c r="C39" s="41" t="s">
        <v>70</v>
      </c>
      <c r="D39" s="9" t="s">
        <v>99</v>
      </c>
      <c r="E39" s="9" t="s">
        <v>18</v>
      </c>
      <c r="F39" s="37" t="s">
        <v>40</v>
      </c>
      <c r="G39" s="40" t="s">
        <v>68</v>
      </c>
      <c r="H39" s="11">
        <v>0.45</v>
      </c>
      <c r="I39" s="9" t="s">
        <v>21</v>
      </c>
      <c r="J39" s="9" t="s">
        <v>26</v>
      </c>
      <c r="K39" s="9"/>
      <c r="L39" s="9"/>
      <c r="M39" s="9"/>
      <c r="N39" s="9"/>
      <c r="O39" s="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s="45" customFormat="1" x14ac:dyDescent="0.3">
      <c r="A40" s="41">
        <v>39</v>
      </c>
      <c r="B40" s="41">
        <v>11</v>
      </c>
      <c r="C40" s="41" t="s">
        <v>70</v>
      </c>
      <c r="D40" s="9" t="s">
        <v>77</v>
      </c>
      <c r="E40" s="9" t="s">
        <v>18</v>
      </c>
      <c r="F40" s="37" t="s">
        <v>40</v>
      </c>
      <c r="G40" s="9" t="s">
        <v>78</v>
      </c>
      <c r="H40" s="11">
        <v>0.51</v>
      </c>
      <c r="I40" s="9" t="s">
        <v>42</v>
      </c>
      <c r="J40" s="9" t="s">
        <v>30</v>
      </c>
      <c r="K40" s="9"/>
      <c r="L40" s="9"/>
      <c r="M40" s="18">
        <v>1</v>
      </c>
      <c r="N40" s="9"/>
      <c r="O40" s="9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s="46" customFormat="1" x14ac:dyDescent="0.3">
      <c r="A41" s="17">
        <v>40</v>
      </c>
      <c r="B41" s="17">
        <v>11</v>
      </c>
      <c r="C41" s="30" t="s">
        <v>97</v>
      </c>
      <c r="D41" s="9" t="s">
        <v>84</v>
      </c>
      <c r="E41" s="9" t="s">
        <v>18</v>
      </c>
      <c r="F41" s="37" t="s">
        <v>40</v>
      </c>
      <c r="G41" s="9" t="s">
        <v>41</v>
      </c>
      <c r="H41" s="11">
        <v>0.32</v>
      </c>
      <c r="I41" s="9" t="s">
        <v>21</v>
      </c>
      <c r="J41" s="9" t="s">
        <v>26</v>
      </c>
      <c r="K41" s="9"/>
      <c r="L41" s="9"/>
      <c r="M41" s="9"/>
      <c r="N41" s="9" t="s">
        <v>38</v>
      </c>
      <c r="O41" s="9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s="46" customFormat="1" x14ac:dyDescent="0.3">
      <c r="A42" s="17">
        <v>41</v>
      </c>
      <c r="B42" s="17">
        <v>12</v>
      </c>
      <c r="C42" s="30" t="s">
        <v>97</v>
      </c>
      <c r="D42" s="9" t="s">
        <v>85</v>
      </c>
      <c r="E42" s="9" t="s">
        <v>18</v>
      </c>
      <c r="F42" s="37" t="s">
        <v>40</v>
      </c>
      <c r="G42" s="9" t="s">
        <v>41</v>
      </c>
      <c r="H42" s="11">
        <v>0.32</v>
      </c>
      <c r="I42" s="9" t="s">
        <v>21</v>
      </c>
      <c r="J42" s="9" t="s">
        <v>86</v>
      </c>
      <c r="K42" s="9"/>
      <c r="L42" s="9"/>
      <c r="M42" s="9"/>
      <c r="N42" s="9"/>
      <c r="O42" s="9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s="46" customFormat="1" x14ac:dyDescent="0.3">
      <c r="A43" s="17">
        <v>42</v>
      </c>
      <c r="B43" s="17">
        <v>13</v>
      </c>
      <c r="C43" s="30" t="s">
        <v>97</v>
      </c>
      <c r="D43" s="9" t="s">
        <v>87</v>
      </c>
      <c r="E43" s="9" t="s">
        <v>18</v>
      </c>
      <c r="F43" s="37" t="s">
        <v>40</v>
      </c>
      <c r="G43" s="9" t="s">
        <v>41</v>
      </c>
      <c r="H43" s="11">
        <v>0.66</v>
      </c>
      <c r="I43" s="9" t="s">
        <v>21</v>
      </c>
      <c r="J43" s="9" t="s">
        <v>35</v>
      </c>
      <c r="K43" s="9"/>
      <c r="L43" s="9"/>
      <c r="M43" s="18">
        <v>1</v>
      </c>
      <c r="N43" s="9"/>
      <c r="O43" s="9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s="46" customFormat="1" x14ac:dyDescent="0.3">
      <c r="A44" s="17">
        <v>43</v>
      </c>
      <c r="B44" s="17">
        <v>14</v>
      </c>
      <c r="C44" s="30" t="s">
        <v>97</v>
      </c>
      <c r="D44" s="9" t="s">
        <v>88</v>
      </c>
      <c r="E44" s="9" t="s">
        <v>18</v>
      </c>
      <c r="F44" s="37" t="s">
        <v>40</v>
      </c>
      <c r="G44" s="9" t="s">
        <v>41</v>
      </c>
      <c r="H44" s="11">
        <v>0.78</v>
      </c>
      <c r="I44" s="9" t="s">
        <v>21</v>
      </c>
      <c r="J44" s="9" t="s">
        <v>22</v>
      </c>
      <c r="K44" s="9"/>
      <c r="L44" s="9"/>
      <c r="M44" s="9"/>
      <c r="N44" s="9"/>
      <c r="O44" s="9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</sheetData>
  <autoFilter ref="A1:M1" xr:uid="{AD6832C7-E1A8-4D3D-9507-C4AECF0B497D}">
    <sortState xmlns:xlrd2="http://schemas.microsoft.com/office/spreadsheetml/2017/richdata2" ref="A2:M44">
      <sortCondition ref="A1"/>
    </sortState>
  </autoFilter>
  <conditionalFormatting sqref="G2:G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44">
    <cfRule type="cellIs" dxfId="0" priority="1" operator="lessThan">
      <formula>0.65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5156-7EA0-432B-8BE3-DFA8FE677AEC}">
  <sheetPr>
    <pageSetUpPr fitToPage="1"/>
  </sheetPr>
  <dimension ref="A1:E37"/>
  <sheetViews>
    <sheetView zoomScale="70" zoomScaleNormal="70" workbookViewId="0">
      <selection activeCell="B19" sqref="B19"/>
    </sheetView>
  </sheetViews>
  <sheetFormatPr defaultRowHeight="14.4" x14ac:dyDescent="0.3"/>
  <cols>
    <col min="1" max="1" width="13.21875" style="47" customWidth="1"/>
    <col min="2" max="2" width="28.6640625" customWidth="1"/>
    <col min="3" max="3" width="53.33203125" customWidth="1"/>
  </cols>
  <sheetData>
    <row r="1" spans="1:5" ht="16.2" customHeight="1" x14ac:dyDescent="0.3">
      <c r="A1" s="48"/>
      <c r="B1" s="48" t="s">
        <v>3</v>
      </c>
      <c r="C1" s="36" t="s">
        <v>103</v>
      </c>
    </row>
    <row r="2" spans="1:5" ht="16.2" customHeight="1" x14ac:dyDescent="0.3">
      <c r="A2" s="49" t="s">
        <v>104</v>
      </c>
      <c r="B2" s="50" t="s">
        <v>105</v>
      </c>
      <c r="C2" s="33"/>
    </row>
    <row r="3" spans="1:5" ht="16.2" customHeight="1" x14ac:dyDescent="0.3">
      <c r="A3" s="49" t="s">
        <v>106</v>
      </c>
      <c r="B3" s="50" t="s">
        <v>47</v>
      </c>
      <c r="C3" s="33"/>
      <c r="E3" s="51" t="s">
        <v>107</v>
      </c>
    </row>
    <row r="4" spans="1:5" ht="16.2" customHeight="1" x14ac:dyDescent="0.3">
      <c r="A4" s="49" t="s">
        <v>108</v>
      </c>
      <c r="B4" s="50" t="s">
        <v>49</v>
      </c>
      <c r="C4" s="33"/>
    </row>
    <row r="5" spans="1:5" ht="16.2" customHeight="1" x14ac:dyDescent="0.3">
      <c r="A5" s="49" t="s">
        <v>109</v>
      </c>
      <c r="B5" s="52" t="s">
        <v>23</v>
      </c>
      <c r="C5" s="33"/>
    </row>
    <row r="6" spans="1:5" ht="16.2" customHeight="1" x14ac:dyDescent="0.3">
      <c r="A6" s="49" t="s">
        <v>110</v>
      </c>
      <c r="B6" s="52" t="s">
        <v>31</v>
      </c>
      <c r="C6" s="33"/>
    </row>
    <row r="7" spans="1:5" ht="16.2" customHeight="1" x14ac:dyDescent="0.3">
      <c r="A7" s="49" t="s">
        <v>111</v>
      </c>
      <c r="B7" s="50" t="s">
        <v>28</v>
      </c>
      <c r="C7" s="33"/>
    </row>
    <row r="8" spans="1:5" ht="16.2" customHeight="1" x14ac:dyDescent="0.3">
      <c r="A8" s="49" t="s">
        <v>112</v>
      </c>
      <c r="B8" s="52" t="s">
        <v>36</v>
      </c>
      <c r="C8" s="33"/>
    </row>
    <row r="9" spans="1:5" ht="16.2" customHeight="1" x14ac:dyDescent="0.3">
      <c r="A9" s="49" t="s">
        <v>113</v>
      </c>
      <c r="B9" s="50" t="s">
        <v>33</v>
      </c>
      <c r="C9" s="33"/>
    </row>
    <row r="10" spans="1:5" ht="16.2" customHeight="1" x14ac:dyDescent="0.3">
      <c r="A10" s="49" t="s">
        <v>114</v>
      </c>
      <c r="B10" s="52" t="s">
        <v>17</v>
      </c>
      <c r="C10" s="33"/>
    </row>
    <row r="11" spans="1:5" ht="16.2" customHeight="1" x14ac:dyDescent="0.3">
      <c r="A11" s="49" t="s">
        <v>115</v>
      </c>
      <c r="B11" s="50" t="s">
        <v>116</v>
      </c>
      <c r="C11" s="33"/>
    </row>
    <row r="12" spans="1:5" ht="16.2" customHeight="1" x14ac:dyDescent="0.3">
      <c r="A12" s="49" t="s">
        <v>117</v>
      </c>
      <c r="B12" s="50" t="s">
        <v>118</v>
      </c>
      <c r="C12" s="33"/>
    </row>
    <row r="13" spans="1:5" ht="16.2" customHeight="1" x14ac:dyDescent="0.3">
      <c r="A13" s="49" t="s">
        <v>119</v>
      </c>
      <c r="B13" s="53" t="s">
        <v>120</v>
      </c>
      <c r="C13" s="33"/>
    </row>
    <row r="14" spans="1:5" ht="16.2" customHeight="1" x14ac:dyDescent="0.3">
      <c r="A14" s="54" t="s">
        <v>121</v>
      </c>
      <c r="B14" s="52" t="s">
        <v>122</v>
      </c>
      <c r="C14" s="33"/>
    </row>
    <row r="15" spans="1:5" ht="16.2" customHeight="1" x14ac:dyDescent="0.3">
      <c r="A15" s="54" t="s">
        <v>123</v>
      </c>
      <c r="B15" s="50" t="s">
        <v>124</v>
      </c>
      <c r="C15" s="33"/>
    </row>
    <row r="16" spans="1:5" ht="16.2" customHeight="1" x14ac:dyDescent="0.3">
      <c r="A16" s="54" t="s">
        <v>125</v>
      </c>
      <c r="B16" s="50" t="s">
        <v>64</v>
      </c>
      <c r="C16" s="33"/>
    </row>
    <row r="17" spans="1:3" ht="16.2" customHeight="1" x14ac:dyDescent="0.3">
      <c r="A17" s="54" t="s">
        <v>126</v>
      </c>
      <c r="B17" s="52" t="s">
        <v>58</v>
      </c>
      <c r="C17" s="33"/>
    </row>
    <row r="18" spans="1:3" ht="16.2" customHeight="1" x14ac:dyDescent="0.3">
      <c r="A18" s="54" t="s">
        <v>127</v>
      </c>
      <c r="B18" s="50" t="s">
        <v>61</v>
      </c>
      <c r="C18" s="33"/>
    </row>
    <row r="19" spans="1:3" ht="16.2" customHeight="1" x14ac:dyDescent="0.3">
      <c r="A19" s="54" t="s">
        <v>128</v>
      </c>
      <c r="B19" s="50" t="s">
        <v>129</v>
      </c>
      <c r="C19" s="33"/>
    </row>
    <row r="20" spans="1:3" ht="16.2" customHeight="1" x14ac:dyDescent="0.3">
      <c r="A20" s="54" t="s">
        <v>130</v>
      </c>
      <c r="B20" s="50" t="s">
        <v>55</v>
      </c>
      <c r="C20" s="33"/>
    </row>
    <row r="21" spans="1:3" ht="16.2" customHeight="1" x14ac:dyDescent="0.3">
      <c r="A21" s="54" t="s">
        <v>131</v>
      </c>
      <c r="B21" s="52" t="s">
        <v>65</v>
      </c>
      <c r="C21" s="33"/>
    </row>
    <row r="22" spans="1:3" ht="16.2" customHeight="1" x14ac:dyDescent="0.3">
      <c r="A22" s="54" t="s">
        <v>132</v>
      </c>
      <c r="B22" s="50" t="s">
        <v>133</v>
      </c>
      <c r="C22" s="33"/>
    </row>
    <row r="23" spans="1:3" ht="16.2" customHeight="1" x14ac:dyDescent="0.3">
      <c r="A23" s="54" t="s">
        <v>134</v>
      </c>
      <c r="B23" s="50" t="s">
        <v>66</v>
      </c>
      <c r="C23" s="33"/>
    </row>
    <row r="24" spans="1:3" ht="16.2" customHeight="1" x14ac:dyDescent="0.3">
      <c r="A24" s="54" t="s">
        <v>135</v>
      </c>
      <c r="B24" s="50" t="s">
        <v>67</v>
      </c>
      <c r="C24" s="33"/>
    </row>
    <row r="25" spans="1:3" ht="16.2" customHeight="1" x14ac:dyDescent="0.3">
      <c r="A25" s="54" t="s">
        <v>136</v>
      </c>
      <c r="B25" s="53" t="s">
        <v>120</v>
      </c>
      <c r="C25" s="33"/>
    </row>
    <row r="26" spans="1:3" ht="16.2" customHeight="1" x14ac:dyDescent="0.3">
      <c r="A26" s="55" t="s">
        <v>137</v>
      </c>
      <c r="B26" s="50" t="s">
        <v>105</v>
      </c>
      <c r="C26" s="33"/>
    </row>
    <row r="27" spans="1:3" ht="16.2" customHeight="1" x14ac:dyDescent="0.3">
      <c r="A27" s="55" t="s">
        <v>138</v>
      </c>
      <c r="B27" s="50" t="s">
        <v>79</v>
      </c>
      <c r="C27" s="33"/>
    </row>
    <row r="28" spans="1:3" ht="16.2" customHeight="1" x14ac:dyDescent="0.3">
      <c r="A28" s="55" t="s">
        <v>139</v>
      </c>
      <c r="B28" s="50" t="s">
        <v>81</v>
      </c>
      <c r="C28" s="33"/>
    </row>
    <row r="29" spans="1:3" ht="16.2" customHeight="1" x14ac:dyDescent="0.3">
      <c r="A29" s="55" t="s">
        <v>140</v>
      </c>
      <c r="B29" s="50" t="s">
        <v>82</v>
      </c>
      <c r="C29" s="33"/>
    </row>
    <row r="30" spans="1:3" ht="16.2" customHeight="1" x14ac:dyDescent="0.3">
      <c r="A30" s="55" t="s">
        <v>141</v>
      </c>
      <c r="B30" s="50" t="s">
        <v>88</v>
      </c>
      <c r="C30" s="33"/>
    </row>
    <row r="31" spans="1:3" ht="16.2" customHeight="1" x14ac:dyDescent="0.3">
      <c r="A31" s="55" t="s">
        <v>142</v>
      </c>
      <c r="B31" s="50" t="s">
        <v>73</v>
      </c>
      <c r="C31" s="33"/>
    </row>
    <row r="32" spans="1:3" ht="16.2" customHeight="1" x14ac:dyDescent="0.3">
      <c r="A32" s="55" t="s">
        <v>143</v>
      </c>
      <c r="B32" s="50" t="s">
        <v>71</v>
      </c>
      <c r="C32" s="33"/>
    </row>
    <row r="33" spans="1:3" ht="16.2" customHeight="1" x14ac:dyDescent="0.3">
      <c r="A33" s="55" t="s">
        <v>144</v>
      </c>
      <c r="B33" s="50" t="s">
        <v>77</v>
      </c>
      <c r="C33" s="33"/>
    </row>
    <row r="34" spans="1:3" ht="16.2" customHeight="1" x14ac:dyDescent="0.3">
      <c r="A34" s="55" t="s">
        <v>145</v>
      </c>
      <c r="B34" s="52" t="s">
        <v>146</v>
      </c>
      <c r="C34" s="33"/>
    </row>
    <row r="35" spans="1:3" ht="16.2" customHeight="1" x14ac:dyDescent="0.3">
      <c r="A35" s="55" t="s">
        <v>147</v>
      </c>
      <c r="B35" s="50" t="s">
        <v>84</v>
      </c>
      <c r="C35" s="33"/>
    </row>
    <row r="36" spans="1:3" ht="16.2" customHeight="1" x14ac:dyDescent="0.3">
      <c r="A36" s="55" t="s">
        <v>148</v>
      </c>
      <c r="B36" s="50" t="s">
        <v>85</v>
      </c>
      <c r="C36" s="33"/>
    </row>
    <row r="37" spans="1:3" ht="16.2" customHeight="1" x14ac:dyDescent="0.3">
      <c r="A37" s="55" t="s">
        <v>149</v>
      </c>
      <c r="B37" s="53" t="s">
        <v>120</v>
      </c>
      <c r="C37" s="33"/>
    </row>
  </sheetData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4ADE-34E7-4FFB-B785-CA5D15AE2CEE}">
  <dimension ref="A1:I26"/>
  <sheetViews>
    <sheetView topLeftCell="B1" workbookViewId="0">
      <selection activeCell="B19" sqref="A19:XFD19"/>
    </sheetView>
  </sheetViews>
  <sheetFormatPr defaultRowHeight="13.8" x14ac:dyDescent="0.25"/>
  <cols>
    <col min="1" max="1" width="8.88671875" style="85"/>
    <col min="2" max="2" width="9" style="85" customWidth="1"/>
    <col min="3" max="3" width="24.109375" style="85" customWidth="1"/>
    <col min="4" max="4" width="17.77734375" style="88" customWidth="1"/>
    <col min="5" max="6" width="17.77734375" style="70" customWidth="1"/>
    <col min="7" max="7" width="87.77734375" style="70" customWidth="1"/>
    <col min="8" max="9" width="15.77734375" style="70" customWidth="1"/>
    <col min="10" max="16384" width="8.88671875" style="88"/>
  </cols>
  <sheetData>
    <row r="1" spans="1:9" s="87" customFormat="1" ht="41.4" x14ac:dyDescent="0.3">
      <c r="A1" s="85" t="s">
        <v>492</v>
      </c>
      <c r="B1" s="86" t="s">
        <v>493</v>
      </c>
      <c r="C1" s="85" t="s">
        <v>494</v>
      </c>
      <c r="D1" s="87" t="s">
        <v>495</v>
      </c>
      <c r="E1" s="86" t="s">
        <v>496</v>
      </c>
      <c r="F1" s="86" t="s">
        <v>497</v>
      </c>
      <c r="G1" s="85" t="s">
        <v>103</v>
      </c>
      <c r="H1" s="86" t="s">
        <v>387</v>
      </c>
      <c r="I1" s="86" t="s">
        <v>388</v>
      </c>
    </row>
    <row r="2" spans="1:9" x14ac:dyDescent="0.25">
      <c r="A2" s="85">
        <v>1</v>
      </c>
      <c r="B2" s="85" t="s">
        <v>126</v>
      </c>
      <c r="C2" s="87" t="s">
        <v>58</v>
      </c>
      <c r="D2" s="88" t="s">
        <v>264</v>
      </c>
      <c r="E2" s="70">
        <v>1</v>
      </c>
      <c r="F2" s="88"/>
      <c r="G2" s="88"/>
      <c r="H2" s="70" t="s">
        <v>268</v>
      </c>
      <c r="I2" s="70" t="s">
        <v>269</v>
      </c>
    </row>
    <row r="3" spans="1:9" x14ac:dyDescent="0.25">
      <c r="A3" s="85">
        <v>2</v>
      </c>
      <c r="B3" s="85" t="s">
        <v>109</v>
      </c>
      <c r="C3" s="87" t="s">
        <v>23</v>
      </c>
      <c r="D3" s="88" t="s">
        <v>264</v>
      </c>
      <c r="E3" s="70">
        <v>1</v>
      </c>
      <c r="F3" s="88"/>
      <c r="G3" s="88"/>
      <c r="H3" s="70" t="s">
        <v>274</v>
      </c>
      <c r="I3" s="70" t="s">
        <v>275</v>
      </c>
    </row>
    <row r="4" spans="1:9" x14ac:dyDescent="0.25">
      <c r="A4" s="85">
        <v>3</v>
      </c>
      <c r="B4" s="85" t="s">
        <v>130</v>
      </c>
      <c r="C4" s="87" t="s">
        <v>408</v>
      </c>
      <c r="D4" s="88" t="s">
        <v>498</v>
      </c>
      <c r="E4" s="70">
        <v>1</v>
      </c>
      <c r="F4" s="88"/>
      <c r="G4" s="88"/>
      <c r="H4" s="70" t="s">
        <v>281</v>
      </c>
      <c r="I4" s="70" t="s">
        <v>282</v>
      </c>
    </row>
    <row r="5" spans="1:9" x14ac:dyDescent="0.25">
      <c r="A5" s="85">
        <v>4</v>
      </c>
      <c r="B5" s="85" t="s">
        <v>111</v>
      </c>
      <c r="C5" s="87" t="s">
        <v>28</v>
      </c>
      <c r="D5" s="88" t="s">
        <v>29</v>
      </c>
      <c r="E5" s="70" t="s">
        <v>410</v>
      </c>
      <c r="F5" s="88"/>
      <c r="G5" s="88" t="s">
        <v>499</v>
      </c>
      <c r="H5" s="70" t="s">
        <v>411</v>
      </c>
      <c r="I5" s="70" t="s">
        <v>294</v>
      </c>
    </row>
    <row r="6" spans="1:9" x14ac:dyDescent="0.25">
      <c r="A6" s="85">
        <v>5</v>
      </c>
      <c r="B6" s="85" t="s">
        <v>115</v>
      </c>
      <c r="C6" s="87" t="s">
        <v>116</v>
      </c>
      <c r="D6" s="88" t="s">
        <v>53</v>
      </c>
      <c r="E6" s="70" t="s">
        <v>414</v>
      </c>
      <c r="F6" s="88"/>
      <c r="G6" s="88" t="s">
        <v>500</v>
      </c>
      <c r="H6" s="70" t="s">
        <v>293</v>
      </c>
      <c r="I6" s="70" t="s">
        <v>294</v>
      </c>
    </row>
    <row r="7" spans="1:9" x14ac:dyDescent="0.25">
      <c r="A7" s="85">
        <v>6</v>
      </c>
      <c r="B7" s="85" t="s">
        <v>131</v>
      </c>
      <c r="C7" s="87" t="s">
        <v>65</v>
      </c>
      <c r="D7" s="88" t="s">
        <v>41</v>
      </c>
      <c r="E7" s="70">
        <v>1</v>
      </c>
      <c r="F7" s="88"/>
      <c r="G7" s="88"/>
      <c r="H7" s="70" t="s">
        <v>300</v>
      </c>
      <c r="I7" s="70" t="s">
        <v>301</v>
      </c>
    </row>
    <row r="8" spans="1:9" x14ac:dyDescent="0.25">
      <c r="A8" s="85">
        <v>7</v>
      </c>
      <c r="B8" s="85" t="s">
        <v>145</v>
      </c>
      <c r="C8" s="87" t="s">
        <v>302</v>
      </c>
      <c r="D8" s="88" t="s">
        <v>41</v>
      </c>
      <c r="E8" s="70" t="s">
        <v>262</v>
      </c>
      <c r="F8" s="70" t="s">
        <v>16</v>
      </c>
      <c r="G8" s="88" t="s">
        <v>501</v>
      </c>
      <c r="H8" s="70" t="s">
        <v>262</v>
      </c>
      <c r="I8" s="70" t="s">
        <v>262</v>
      </c>
    </row>
    <row r="9" spans="1:9" x14ac:dyDescent="0.25">
      <c r="A9" s="85">
        <v>8</v>
      </c>
      <c r="B9" s="85" t="s">
        <v>137</v>
      </c>
      <c r="C9" s="87" t="s">
        <v>307</v>
      </c>
      <c r="D9" s="88" t="s">
        <v>41</v>
      </c>
      <c r="E9" s="70" t="s">
        <v>262</v>
      </c>
      <c r="F9" s="70" t="s">
        <v>59</v>
      </c>
      <c r="G9" s="88"/>
      <c r="H9" s="70" t="s">
        <v>262</v>
      </c>
      <c r="I9" s="70" t="s">
        <v>262</v>
      </c>
    </row>
    <row r="10" spans="1:9" x14ac:dyDescent="0.25">
      <c r="A10" s="85">
        <v>9</v>
      </c>
      <c r="B10" s="85" t="s">
        <v>132</v>
      </c>
      <c r="C10" s="87" t="s">
        <v>133</v>
      </c>
      <c r="D10" s="88" t="s">
        <v>41</v>
      </c>
      <c r="E10" s="70">
        <v>1</v>
      </c>
      <c r="F10" s="88"/>
      <c r="G10" s="88"/>
      <c r="H10" s="70" t="s">
        <v>315</v>
      </c>
      <c r="I10" s="70" t="s">
        <v>316</v>
      </c>
    </row>
    <row r="11" spans="1:9" x14ac:dyDescent="0.25">
      <c r="A11" s="85">
        <v>10</v>
      </c>
      <c r="B11" s="85" t="s">
        <v>128</v>
      </c>
      <c r="C11" s="87" t="s">
        <v>317</v>
      </c>
      <c r="D11" s="88" t="s">
        <v>264</v>
      </c>
      <c r="E11" s="70">
        <v>1</v>
      </c>
      <c r="F11" s="88"/>
      <c r="G11" s="88"/>
      <c r="H11" s="70" t="s">
        <v>322</v>
      </c>
      <c r="I11" s="70" t="s">
        <v>323</v>
      </c>
    </row>
    <row r="12" spans="1:9" x14ac:dyDescent="0.25">
      <c r="A12" s="85">
        <v>11</v>
      </c>
      <c r="B12" s="85" t="s">
        <v>143</v>
      </c>
      <c r="C12" s="87" t="s">
        <v>71</v>
      </c>
      <c r="D12" s="88" t="s">
        <v>72</v>
      </c>
      <c r="E12" s="70" t="s">
        <v>431</v>
      </c>
      <c r="F12" s="88"/>
      <c r="G12" s="88" t="s">
        <v>502</v>
      </c>
      <c r="H12" s="70" t="s">
        <v>327</v>
      </c>
      <c r="I12" s="70" t="s">
        <v>328</v>
      </c>
    </row>
    <row r="13" spans="1:9" x14ac:dyDescent="0.25">
      <c r="A13" s="85">
        <v>12</v>
      </c>
      <c r="B13" s="85" t="s">
        <v>127</v>
      </c>
      <c r="C13" s="87" t="s">
        <v>330</v>
      </c>
      <c r="D13" s="88" t="s">
        <v>62</v>
      </c>
      <c r="E13" s="70" t="s">
        <v>335</v>
      </c>
      <c r="F13" s="88"/>
      <c r="G13" s="88" t="s">
        <v>503</v>
      </c>
      <c r="H13" s="70" t="s">
        <v>334</v>
      </c>
      <c r="I13" s="70" t="s">
        <v>294</v>
      </c>
    </row>
    <row r="14" spans="1:9" x14ac:dyDescent="0.25">
      <c r="A14" s="85">
        <v>13</v>
      </c>
      <c r="B14" s="85" t="s">
        <v>148</v>
      </c>
      <c r="C14" s="87" t="s">
        <v>85</v>
      </c>
      <c r="D14" s="88" t="s">
        <v>41</v>
      </c>
      <c r="E14" s="70" t="s">
        <v>262</v>
      </c>
      <c r="F14" s="70" t="s">
        <v>16</v>
      </c>
      <c r="G14" s="88" t="s">
        <v>504</v>
      </c>
      <c r="H14" s="70" t="s">
        <v>262</v>
      </c>
      <c r="I14" s="70" t="s">
        <v>262</v>
      </c>
    </row>
    <row r="15" spans="1:9" x14ac:dyDescent="0.25">
      <c r="A15" s="85">
        <v>14</v>
      </c>
      <c r="B15" s="85" t="s">
        <v>110</v>
      </c>
      <c r="C15" s="87" t="s">
        <v>339</v>
      </c>
      <c r="D15" s="88" t="s">
        <v>32</v>
      </c>
      <c r="E15" s="70" t="s">
        <v>438</v>
      </c>
      <c r="F15" s="88"/>
      <c r="G15" s="88" t="s">
        <v>505</v>
      </c>
      <c r="H15" s="70" t="s">
        <v>342</v>
      </c>
      <c r="I15" s="70" t="s">
        <v>294</v>
      </c>
    </row>
    <row r="16" spans="1:9" x14ac:dyDescent="0.25">
      <c r="A16" s="85">
        <v>15</v>
      </c>
      <c r="B16" s="85" t="s">
        <v>117</v>
      </c>
      <c r="C16" s="87" t="s">
        <v>44</v>
      </c>
      <c r="D16" s="88" t="s">
        <v>46</v>
      </c>
      <c r="E16" s="70">
        <v>1</v>
      </c>
      <c r="F16" s="88"/>
      <c r="G16" s="88"/>
      <c r="H16" s="70" t="s">
        <v>341</v>
      </c>
      <c r="I16" s="70" t="s">
        <v>262</v>
      </c>
    </row>
    <row r="17" spans="1:9" x14ac:dyDescent="0.25">
      <c r="A17" s="85">
        <v>16</v>
      </c>
      <c r="B17" s="85" t="s">
        <v>141</v>
      </c>
      <c r="C17" s="87" t="s">
        <v>88</v>
      </c>
      <c r="D17" s="88" t="s">
        <v>41</v>
      </c>
      <c r="E17" s="70" t="s">
        <v>262</v>
      </c>
      <c r="F17" s="70" t="s">
        <v>16</v>
      </c>
      <c r="G17" s="88" t="s">
        <v>506</v>
      </c>
      <c r="H17" s="70" t="s">
        <v>262</v>
      </c>
      <c r="I17" s="70" t="s">
        <v>262</v>
      </c>
    </row>
    <row r="18" spans="1:9" x14ac:dyDescent="0.25">
      <c r="A18" s="85">
        <v>17</v>
      </c>
      <c r="B18" s="85" t="s">
        <v>142</v>
      </c>
      <c r="C18" s="87" t="s">
        <v>73</v>
      </c>
      <c r="D18" s="88" t="s">
        <v>74</v>
      </c>
      <c r="E18" s="70">
        <v>1</v>
      </c>
      <c r="F18" s="88"/>
      <c r="G18" s="88"/>
      <c r="H18" s="70" t="s">
        <v>354</v>
      </c>
      <c r="I18" s="70" t="s">
        <v>294</v>
      </c>
    </row>
    <row r="19" spans="1:9" x14ac:dyDescent="0.25">
      <c r="A19" s="85">
        <v>18</v>
      </c>
      <c r="B19" s="85" t="s">
        <v>144</v>
      </c>
      <c r="C19" s="87" t="s">
        <v>77</v>
      </c>
      <c r="D19" s="88" t="s">
        <v>78</v>
      </c>
      <c r="E19" s="70">
        <v>1</v>
      </c>
      <c r="F19" s="88"/>
      <c r="G19" s="88"/>
      <c r="H19" s="70" t="s">
        <v>358</v>
      </c>
      <c r="I19" s="70" t="s">
        <v>294</v>
      </c>
    </row>
    <row r="20" spans="1:9" x14ac:dyDescent="0.25">
      <c r="A20" s="85">
        <v>19</v>
      </c>
      <c r="B20" s="85" t="s">
        <v>113</v>
      </c>
      <c r="C20" s="87" t="s">
        <v>33</v>
      </c>
      <c r="D20" s="88" t="s">
        <v>34</v>
      </c>
      <c r="E20" s="70" t="s">
        <v>363</v>
      </c>
      <c r="F20" s="88"/>
      <c r="G20" s="88" t="s">
        <v>507</v>
      </c>
      <c r="H20" s="70" t="s">
        <v>362</v>
      </c>
      <c r="I20" s="70" t="s">
        <v>294</v>
      </c>
    </row>
    <row r="21" spans="1:9" x14ac:dyDescent="0.25">
      <c r="A21" s="85">
        <v>20</v>
      </c>
      <c r="B21" s="85" t="s">
        <v>114</v>
      </c>
      <c r="C21" s="87" t="s">
        <v>17</v>
      </c>
      <c r="D21" s="88" t="s">
        <v>20</v>
      </c>
      <c r="E21" s="70">
        <v>1</v>
      </c>
      <c r="F21" s="88"/>
      <c r="G21" s="88"/>
      <c r="H21" s="70" t="s">
        <v>366</v>
      </c>
      <c r="I21" s="70" t="s">
        <v>367</v>
      </c>
    </row>
    <row r="22" spans="1:9" x14ac:dyDescent="0.25">
      <c r="A22" s="85">
        <v>21</v>
      </c>
      <c r="B22" s="85" t="s">
        <v>112</v>
      </c>
      <c r="C22" s="87" t="s">
        <v>368</v>
      </c>
      <c r="D22" s="88" t="s">
        <v>37</v>
      </c>
      <c r="E22" s="70">
        <v>1</v>
      </c>
      <c r="F22" s="88"/>
      <c r="G22" s="88"/>
      <c r="H22" s="70" t="s">
        <v>372</v>
      </c>
      <c r="I22" s="70" t="s">
        <v>294</v>
      </c>
    </row>
    <row r="23" spans="1:9" x14ac:dyDescent="0.25">
      <c r="A23" s="85">
        <v>22</v>
      </c>
      <c r="B23" s="85" t="s">
        <v>134</v>
      </c>
      <c r="C23" s="87" t="s">
        <v>66</v>
      </c>
      <c r="D23" s="88" t="s">
        <v>41</v>
      </c>
      <c r="E23" s="70" t="s">
        <v>262</v>
      </c>
      <c r="F23" s="70" t="s">
        <v>89</v>
      </c>
      <c r="G23" s="88" t="s">
        <v>508</v>
      </c>
      <c r="H23" s="70" t="s">
        <v>262</v>
      </c>
      <c r="I23" s="70" t="s">
        <v>262</v>
      </c>
    </row>
    <row r="24" spans="1:9" x14ac:dyDescent="0.25">
      <c r="A24" s="85">
        <v>23</v>
      </c>
      <c r="B24" s="85" t="s">
        <v>147</v>
      </c>
      <c r="C24" s="87" t="s">
        <v>84</v>
      </c>
      <c r="D24" s="88" t="s">
        <v>41</v>
      </c>
      <c r="E24" s="70">
        <v>1</v>
      </c>
      <c r="F24" s="88"/>
      <c r="G24" s="88"/>
      <c r="H24" s="70" t="s">
        <v>379</v>
      </c>
      <c r="I24" s="70" t="s">
        <v>380</v>
      </c>
    </row>
    <row r="25" spans="1:9" x14ac:dyDescent="0.25">
      <c r="A25" s="85">
        <v>24</v>
      </c>
      <c r="B25" s="85" t="s">
        <v>135</v>
      </c>
      <c r="C25" s="87" t="s">
        <v>67</v>
      </c>
      <c r="D25" s="88" t="s">
        <v>68</v>
      </c>
      <c r="E25" s="70" t="s">
        <v>385</v>
      </c>
      <c r="F25" s="88"/>
      <c r="G25" s="88" t="s">
        <v>509</v>
      </c>
      <c r="H25" s="70" t="s">
        <v>384</v>
      </c>
      <c r="I25" s="70" t="s">
        <v>294</v>
      </c>
    </row>
    <row r="26" spans="1:9" x14ac:dyDescent="0.25">
      <c r="A26" s="89">
        <v>25</v>
      </c>
      <c r="B26" s="85" t="s">
        <v>256</v>
      </c>
      <c r="C26" s="90" t="s">
        <v>255</v>
      </c>
      <c r="D26" s="88" t="s">
        <v>256</v>
      </c>
      <c r="E26" s="70">
        <v>1</v>
      </c>
      <c r="F26" s="88"/>
      <c r="G26" s="88"/>
      <c r="H26" s="70" t="s">
        <v>260</v>
      </c>
      <c r="I26" s="70" t="s">
        <v>261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409F-55D9-4351-93EA-FD6AE58F2099}">
  <dimension ref="A1:Y33"/>
  <sheetViews>
    <sheetView zoomScale="70" zoomScaleNormal="7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G24" sqref="G24"/>
    </sheetView>
  </sheetViews>
  <sheetFormatPr defaultRowHeight="13.2" x14ac:dyDescent="0.25"/>
  <cols>
    <col min="1" max="1" width="8.88671875" style="57"/>
    <col min="2" max="2" width="28.6640625" style="57" customWidth="1"/>
    <col min="3" max="3" width="12.21875" style="57" customWidth="1"/>
    <col min="4" max="4" width="35.77734375" style="57" customWidth="1"/>
    <col min="5" max="5" width="16.6640625" style="57" customWidth="1"/>
    <col min="6" max="6" width="21" style="57" customWidth="1"/>
    <col min="7" max="7" width="29.44140625" style="57" customWidth="1"/>
    <col min="8" max="8" width="23" style="57" customWidth="1"/>
    <col min="9" max="9" width="22.88671875" style="57" customWidth="1"/>
    <col min="10" max="10" width="17.44140625" style="57" customWidth="1"/>
    <col min="11" max="11" width="20" style="57" customWidth="1"/>
    <col min="12" max="12" width="18.77734375" style="57" customWidth="1"/>
    <col min="13" max="13" width="19.5546875" style="57" customWidth="1"/>
    <col min="14" max="14" width="8.88671875" style="56"/>
    <col min="15" max="15" width="16.44140625" style="57" customWidth="1"/>
    <col min="16" max="16" width="22.44140625" style="58" customWidth="1"/>
    <col min="17" max="17" width="20.21875" style="57" customWidth="1"/>
    <col min="18" max="18" width="17.109375" style="57" customWidth="1"/>
    <col min="19" max="20" width="25.6640625" style="57" customWidth="1"/>
    <col min="21" max="21" width="42.77734375" style="57" customWidth="1"/>
    <col min="22" max="22" width="56.33203125" style="57" customWidth="1"/>
    <col min="23" max="24" width="42.77734375" style="57" customWidth="1"/>
    <col min="25" max="25" width="12.88671875" style="57" customWidth="1"/>
    <col min="26" max="16384" width="8.88671875" style="56"/>
  </cols>
  <sheetData>
    <row r="1" spans="1:25" s="58" customFormat="1" ht="37.799999999999997" customHeight="1" x14ac:dyDescent="0.3">
      <c r="A1" s="58" t="s">
        <v>246</v>
      </c>
      <c r="B1" s="68" t="s">
        <v>3</v>
      </c>
      <c r="C1" s="68" t="s">
        <v>247</v>
      </c>
      <c r="D1" s="58" t="s">
        <v>5</v>
      </c>
      <c r="E1" s="58" t="s">
        <v>6</v>
      </c>
      <c r="F1" s="68" t="s">
        <v>386</v>
      </c>
      <c r="G1" s="68" t="s">
        <v>773</v>
      </c>
      <c r="H1" s="68" t="s">
        <v>387</v>
      </c>
      <c r="I1" s="68" t="s">
        <v>388</v>
      </c>
      <c r="J1" s="68" t="s">
        <v>389</v>
      </c>
      <c r="K1" s="68"/>
      <c r="L1" s="68" t="s">
        <v>390</v>
      </c>
      <c r="M1" s="68" t="s">
        <v>391</v>
      </c>
      <c r="N1" s="68" t="s">
        <v>392</v>
      </c>
      <c r="O1" s="58" t="s">
        <v>4</v>
      </c>
      <c r="P1" s="58" t="s">
        <v>248</v>
      </c>
      <c r="Q1" s="58" t="s">
        <v>249</v>
      </c>
      <c r="R1" s="58" t="s">
        <v>250</v>
      </c>
      <c r="S1" s="58" t="s">
        <v>393</v>
      </c>
      <c r="T1" s="58" t="s">
        <v>394</v>
      </c>
      <c r="U1" s="58" t="s">
        <v>395</v>
      </c>
      <c r="V1" s="58" t="s">
        <v>396</v>
      </c>
      <c r="W1" s="58" t="s">
        <v>397</v>
      </c>
      <c r="X1" s="58" t="s">
        <v>398</v>
      </c>
      <c r="Y1" s="68" t="s">
        <v>399</v>
      </c>
    </row>
    <row r="2" spans="1:25" s="57" customFormat="1" ht="23.4" customHeight="1" x14ac:dyDescent="0.3">
      <c r="A2" s="57">
        <v>1</v>
      </c>
      <c r="B2" s="68" t="s">
        <v>58</v>
      </c>
      <c r="C2" s="68"/>
      <c r="D2" s="57" t="s">
        <v>263</v>
      </c>
      <c r="E2" s="69" t="s">
        <v>264</v>
      </c>
      <c r="F2" s="70">
        <v>1</v>
      </c>
      <c r="G2" s="70">
        <v>1</v>
      </c>
      <c r="H2" s="68" t="s">
        <v>268</v>
      </c>
      <c r="I2" s="60" t="s">
        <v>269</v>
      </c>
      <c r="J2" s="68" t="s">
        <v>16</v>
      </c>
      <c r="K2" s="68"/>
      <c r="L2" s="68"/>
      <c r="M2" s="68"/>
      <c r="N2" s="71" t="s">
        <v>126</v>
      </c>
      <c r="O2" s="57" t="s">
        <v>18</v>
      </c>
      <c r="P2" s="72" t="s">
        <v>257</v>
      </c>
      <c r="Q2" s="73" t="s">
        <v>258</v>
      </c>
      <c r="R2" s="73" t="s">
        <v>259</v>
      </c>
      <c r="S2" s="58" t="s">
        <v>400</v>
      </c>
      <c r="T2" s="74" t="s">
        <v>401</v>
      </c>
      <c r="U2" s="75" t="s">
        <v>402</v>
      </c>
      <c r="X2" s="57" t="s">
        <v>403</v>
      </c>
      <c r="Y2" s="57" t="s">
        <v>262</v>
      </c>
    </row>
    <row r="3" spans="1:25" s="57" customFormat="1" ht="23.4" customHeight="1" x14ac:dyDescent="0.3">
      <c r="A3" s="57">
        <v>2</v>
      </c>
      <c r="B3" s="68" t="s">
        <v>23</v>
      </c>
      <c r="C3" s="68" t="s">
        <v>270</v>
      </c>
      <c r="D3" s="57" t="s">
        <v>263</v>
      </c>
      <c r="E3" s="69" t="s">
        <v>264</v>
      </c>
      <c r="F3" s="70">
        <v>1</v>
      </c>
      <c r="G3" s="70">
        <v>1</v>
      </c>
      <c r="H3" s="68" t="s">
        <v>274</v>
      </c>
      <c r="I3" s="68" t="s">
        <v>275</v>
      </c>
      <c r="J3" s="68" t="s">
        <v>16</v>
      </c>
      <c r="K3" s="68"/>
      <c r="L3" s="68"/>
      <c r="M3" s="68"/>
      <c r="N3" s="76" t="s">
        <v>109</v>
      </c>
      <c r="O3" s="57" t="s">
        <v>18</v>
      </c>
      <c r="P3" s="72" t="s">
        <v>265</v>
      </c>
      <c r="Q3" s="73" t="s">
        <v>266</v>
      </c>
      <c r="R3" s="73" t="s">
        <v>267</v>
      </c>
      <c r="S3" s="58" t="s">
        <v>400</v>
      </c>
      <c r="T3" s="74" t="s">
        <v>404</v>
      </c>
      <c r="U3" s="74" t="s">
        <v>404</v>
      </c>
      <c r="Y3" s="68" t="s">
        <v>405</v>
      </c>
    </row>
    <row r="4" spans="1:25" s="57" customFormat="1" ht="23.4" customHeight="1" x14ac:dyDescent="0.3">
      <c r="A4" s="57">
        <v>3</v>
      </c>
      <c r="B4" s="68" t="s">
        <v>55</v>
      </c>
      <c r="C4" s="68"/>
      <c r="D4" s="57" t="s">
        <v>276</v>
      </c>
      <c r="E4" s="57" t="s">
        <v>277</v>
      </c>
      <c r="F4" s="70">
        <v>1</v>
      </c>
      <c r="G4" s="70" t="s">
        <v>774</v>
      </c>
      <c r="H4" s="68" t="s">
        <v>281</v>
      </c>
      <c r="I4" s="68" t="s">
        <v>282</v>
      </c>
      <c r="J4" s="68" t="s">
        <v>16</v>
      </c>
      <c r="K4" s="68"/>
      <c r="L4" s="68"/>
      <c r="M4" s="68"/>
      <c r="N4" s="71" t="s">
        <v>130</v>
      </c>
      <c r="O4" s="57" t="s">
        <v>18</v>
      </c>
      <c r="P4" s="72" t="s">
        <v>271</v>
      </c>
      <c r="Q4" s="73" t="s">
        <v>272</v>
      </c>
      <c r="R4" s="73" t="s">
        <v>273</v>
      </c>
      <c r="S4" s="58" t="s">
        <v>406</v>
      </c>
      <c r="T4" s="75" t="s">
        <v>402</v>
      </c>
      <c r="U4" s="75" t="s">
        <v>402</v>
      </c>
      <c r="V4" s="77" t="s">
        <v>407</v>
      </c>
      <c r="W4" s="58" t="s">
        <v>408</v>
      </c>
      <c r="X4" s="58" t="s">
        <v>408</v>
      </c>
      <c r="Y4" s="68" t="s">
        <v>409</v>
      </c>
    </row>
    <row r="5" spans="1:25" s="57" customFormat="1" ht="23.4" customHeight="1" x14ac:dyDescent="0.3">
      <c r="A5" s="57">
        <v>4</v>
      </c>
      <c r="B5" s="68" t="s">
        <v>28</v>
      </c>
      <c r="C5" s="68"/>
      <c r="D5" s="57" t="s">
        <v>263</v>
      </c>
      <c r="E5" s="69" t="s">
        <v>29</v>
      </c>
      <c r="F5" s="70" t="s">
        <v>410</v>
      </c>
      <c r="G5" s="70" t="s">
        <v>775</v>
      </c>
      <c r="H5" s="68" t="s">
        <v>411</v>
      </c>
      <c r="I5" s="68" t="s">
        <v>294</v>
      </c>
      <c r="J5" s="68" t="s">
        <v>16</v>
      </c>
      <c r="K5" s="68" t="s">
        <v>412</v>
      </c>
      <c r="L5" s="68"/>
      <c r="M5" s="68"/>
      <c r="N5" s="76" t="s">
        <v>111</v>
      </c>
      <c r="O5" s="57" t="s">
        <v>18</v>
      </c>
      <c r="P5" s="73" t="s">
        <v>278</v>
      </c>
      <c r="Q5" s="73" t="s">
        <v>279</v>
      </c>
      <c r="R5" s="73" t="s">
        <v>280</v>
      </c>
      <c r="S5" s="57" t="s">
        <v>400</v>
      </c>
      <c r="T5" s="75" t="s">
        <v>402</v>
      </c>
      <c r="U5" s="75" t="s">
        <v>402</v>
      </c>
      <c r="Y5" s="68" t="s">
        <v>413</v>
      </c>
    </row>
    <row r="6" spans="1:25" s="57" customFormat="1" ht="23.4" customHeight="1" x14ac:dyDescent="0.3">
      <c r="A6" s="57">
        <v>5</v>
      </c>
      <c r="B6" s="68" t="s">
        <v>116</v>
      </c>
      <c r="C6" s="68"/>
      <c r="D6" s="57" t="s">
        <v>276</v>
      </c>
      <c r="E6" s="69" t="s">
        <v>53</v>
      </c>
      <c r="F6" s="70" t="s">
        <v>414</v>
      </c>
      <c r="G6" s="70">
        <v>1</v>
      </c>
      <c r="H6" s="78" t="s">
        <v>293</v>
      </c>
      <c r="I6" s="78" t="s">
        <v>294</v>
      </c>
      <c r="J6" s="78" t="s">
        <v>16</v>
      </c>
      <c r="K6" s="78"/>
      <c r="L6" s="78"/>
      <c r="M6" s="78"/>
      <c r="N6" s="76" t="s">
        <v>115</v>
      </c>
      <c r="O6" s="57" t="s">
        <v>18</v>
      </c>
      <c r="P6" s="72" t="s">
        <v>284</v>
      </c>
      <c r="Q6" s="73" t="s">
        <v>285</v>
      </c>
      <c r="R6" s="73" t="s">
        <v>286</v>
      </c>
      <c r="S6" s="57" t="s">
        <v>400</v>
      </c>
      <c r="T6" s="74" t="s">
        <v>415</v>
      </c>
      <c r="U6" s="74" t="s">
        <v>415</v>
      </c>
      <c r="Y6" s="68" t="s">
        <v>413</v>
      </c>
    </row>
    <row r="7" spans="1:25" s="57" customFormat="1" ht="23.4" customHeight="1" x14ac:dyDescent="0.3">
      <c r="A7" s="57">
        <v>6</v>
      </c>
      <c r="B7" s="68" t="s">
        <v>65</v>
      </c>
      <c r="C7" s="68"/>
      <c r="D7" s="57" t="s">
        <v>296</v>
      </c>
      <c r="E7" s="69" t="s">
        <v>41</v>
      </c>
      <c r="F7" s="70">
        <v>1</v>
      </c>
      <c r="G7" s="177" t="s">
        <v>262</v>
      </c>
      <c r="H7" s="68" t="s">
        <v>300</v>
      </c>
      <c r="I7" s="68" t="s">
        <v>301</v>
      </c>
      <c r="J7" s="68" t="s">
        <v>16</v>
      </c>
      <c r="K7" s="68"/>
      <c r="L7" s="68"/>
      <c r="M7" s="68"/>
      <c r="N7" s="71" t="s">
        <v>131</v>
      </c>
      <c r="O7" s="57" t="s">
        <v>18</v>
      </c>
      <c r="P7" s="72" t="s">
        <v>290</v>
      </c>
      <c r="Q7" s="73" t="s">
        <v>291</v>
      </c>
      <c r="R7" s="73" t="s">
        <v>292</v>
      </c>
      <c r="S7" s="57" t="s">
        <v>400</v>
      </c>
      <c r="T7" s="75" t="s">
        <v>402</v>
      </c>
      <c r="U7" s="75" t="s">
        <v>402</v>
      </c>
      <c r="Y7" s="68" t="s">
        <v>413</v>
      </c>
    </row>
    <row r="8" spans="1:25" ht="23.4" customHeight="1" x14ac:dyDescent="0.3">
      <c r="A8" s="57">
        <v>7</v>
      </c>
      <c r="B8" s="68" t="s">
        <v>302</v>
      </c>
      <c r="C8" s="68" t="s">
        <v>303</v>
      </c>
      <c r="D8" s="57" t="s">
        <v>296</v>
      </c>
      <c r="E8" s="69" t="s">
        <v>41</v>
      </c>
      <c r="F8" s="70" t="s">
        <v>262</v>
      </c>
      <c r="G8" s="177" t="s">
        <v>262</v>
      </c>
      <c r="H8" s="68" t="s">
        <v>262</v>
      </c>
      <c r="I8" s="68" t="s">
        <v>262</v>
      </c>
      <c r="J8" s="68" t="s">
        <v>416</v>
      </c>
      <c r="K8" s="68"/>
      <c r="L8" s="68" t="s">
        <v>417</v>
      </c>
      <c r="M8" s="68"/>
      <c r="N8" s="79" t="s">
        <v>145</v>
      </c>
      <c r="O8" s="57" t="s">
        <v>18</v>
      </c>
      <c r="P8" s="72" t="s">
        <v>297</v>
      </c>
      <c r="Q8" s="73" t="s">
        <v>298</v>
      </c>
      <c r="R8" s="73" t="s">
        <v>299</v>
      </c>
      <c r="S8" s="57" t="s">
        <v>406</v>
      </c>
      <c r="T8" s="75" t="s">
        <v>402</v>
      </c>
      <c r="U8" s="75" t="s">
        <v>402</v>
      </c>
      <c r="V8" s="57" t="s">
        <v>418</v>
      </c>
      <c r="W8" s="57" t="s">
        <v>419</v>
      </c>
      <c r="X8" s="57" t="s">
        <v>419</v>
      </c>
      <c r="Y8" s="68" t="s">
        <v>413</v>
      </c>
    </row>
    <row r="9" spans="1:25" ht="23.4" customHeight="1" x14ac:dyDescent="0.3">
      <c r="A9" s="57">
        <v>8</v>
      </c>
      <c r="B9" s="68" t="s">
        <v>307</v>
      </c>
      <c r="C9" s="68" t="s">
        <v>308</v>
      </c>
      <c r="D9" s="57" t="s">
        <v>296</v>
      </c>
      <c r="E9" s="69" t="s">
        <v>41</v>
      </c>
      <c r="F9" s="70" t="s">
        <v>262</v>
      </c>
      <c r="G9" s="70">
        <v>1</v>
      </c>
      <c r="H9" s="57" t="s">
        <v>262</v>
      </c>
      <c r="I9" s="57" t="s">
        <v>262</v>
      </c>
      <c r="N9" s="79" t="s">
        <v>137</v>
      </c>
      <c r="O9" s="57" t="s">
        <v>18</v>
      </c>
      <c r="P9" s="72" t="s">
        <v>304</v>
      </c>
      <c r="Q9" s="73" t="s">
        <v>305</v>
      </c>
      <c r="R9" s="73" t="s">
        <v>306</v>
      </c>
      <c r="S9" s="57" t="s">
        <v>406</v>
      </c>
      <c r="T9" s="74" t="s">
        <v>420</v>
      </c>
      <c r="U9" s="74" t="s">
        <v>421</v>
      </c>
      <c r="V9" s="57" t="s">
        <v>418</v>
      </c>
      <c r="W9" s="57" t="s">
        <v>422</v>
      </c>
      <c r="X9" s="57" t="s">
        <v>423</v>
      </c>
      <c r="Y9" s="68" t="s">
        <v>424</v>
      </c>
    </row>
    <row r="10" spans="1:25" ht="23.4" customHeight="1" x14ac:dyDescent="0.3">
      <c r="A10" s="57">
        <v>9</v>
      </c>
      <c r="B10" s="68" t="s">
        <v>133</v>
      </c>
      <c r="C10" s="68"/>
      <c r="D10" s="57" t="s">
        <v>296</v>
      </c>
      <c r="E10" s="69" t="s">
        <v>41</v>
      </c>
      <c r="F10" s="70">
        <v>1</v>
      </c>
      <c r="G10" s="70">
        <v>1</v>
      </c>
      <c r="H10" s="68" t="s">
        <v>315</v>
      </c>
      <c r="I10" s="68" t="s">
        <v>316</v>
      </c>
      <c r="J10" s="68" t="s">
        <v>16</v>
      </c>
      <c r="K10" s="68"/>
      <c r="L10" s="68"/>
      <c r="M10" s="68"/>
      <c r="N10" s="71" t="s">
        <v>132</v>
      </c>
      <c r="O10" s="57" t="s">
        <v>18</v>
      </c>
      <c r="P10" s="72" t="s">
        <v>309</v>
      </c>
      <c r="Q10" s="73" t="s">
        <v>310</v>
      </c>
      <c r="R10" s="73" t="s">
        <v>311</v>
      </c>
      <c r="S10" s="57" t="s">
        <v>406</v>
      </c>
      <c r="T10" s="74" t="s">
        <v>425</v>
      </c>
      <c r="U10" s="74" t="s">
        <v>425</v>
      </c>
      <c r="V10" s="57" t="s">
        <v>426</v>
      </c>
      <c r="W10" s="57" t="s">
        <v>427</v>
      </c>
      <c r="X10" s="57" t="s">
        <v>427</v>
      </c>
      <c r="Y10" s="68" t="s">
        <v>428</v>
      </c>
    </row>
    <row r="11" spans="1:25" ht="23.4" customHeight="1" x14ac:dyDescent="0.3">
      <c r="A11" s="57">
        <v>10</v>
      </c>
      <c r="B11" s="68" t="s">
        <v>317</v>
      </c>
      <c r="C11" s="68" t="s">
        <v>318</v>
      </c>
      <c r="D11" s="57" t="s">
        <v>263</v>
      </c>
      <c r="E11" s="69" t="s">
        <v>264</v>
      </c>
      <c r="F11" s="70">
        <v>1</v>
      </c>
      <c r="G11" s="70">
        <v>1</v>
      </c>
      <c r="H11" s="68" t="s">
        <v>322</v>
      </c>
      <c r="I11" s="68" t="s">
        <v>323</v>
      </c>
      <c r="J11" s="68" t="s">
        <v>16</v>
      </c>
      <c r="K11" s="68"/>
      <c r="L11" s="68"/>
      <c r="M11" s="68"/>
      <c r="N11" s="71" t="s">
        <v>128</v>
      </c>
      <c r="O11" s="57" t="s">
        <v>18</v>
      </c>
      <c r="P11" s="72" t="s">
        <v>312</v>
      </c>
      <c r="Q11" s="73" t="s">
        <v>313</v>
      </c>
      <c r="R11" s="73" t="s">
        <v>314</v>
      </c>
      <c r="S11" s="57" t="s">
        <v>406</v>
      </c>
      <c r="T11" s="74" t="s">
        <v>429</v>
      </c>
      <c r="U11" s="75" t="s">
        <v>402</v>
      </c>
      <c r="V11" s="57" t="s">
        <v>430</v>
      </c>
      <c r="Y11" s="68" t="s">
        <v>413</v>
      </c>
    </row>
    <row r="12" spans="1:25" ht="23.4" customHeight="1" x14ac:dyDescent="0.3">
      <c r="A12" s="57">
        <v>11</v>
      </c>
      <c r="B12" s="68" t="s">
        <v>71</v>
      </c>
      <c r="C12" s="68"/>
      <c r="D12" s="57" t="s">
        <v>276</v>
      </c>
      <c r="E12" s="69" t="s">
        <v>72</v>
      </c>
      <c r="F12" s="70" t="s">
        <v>431</v>
      </c>
      <c r="G12" s="70">
        <v>1</v>
      </c>
      <c r="H12" s="68" t="s">
        <v>327</v>
      </c>
      <c r="I12" s="68" t="s">
        <v>328</v>
      </c>
      <c r="J12" s="68" t="s">
        <v>16</v>
      </c>
      <c r="K12" s="68"/>
      <c r="L12" s="68"/>
      <c r="M12" s="68"/>
      <c r="N12" s="79" t="s">
        <v>143</v>
      </c>
      <c r="O12" s="57" t="s">
        <v>18</v>
      </c>
      <c r="P12" s="72" t="s">
        <v>319</v>
      </c>
      <c r="Q12" s="73" t="s">
        <v>320</v>
      </c>
      <c r="R12" s="73" t="s">
        <v>321</v>
      </c>
      <c r="S12" s="57" t="s">
        <v>400</v>
      </c>
      <c r="T12" s="75" t="s">
        <v>402</v>
      </c>
      <c r="U12" s="75" t="s">
        <v>402</v>
      </c>
      <c r="Y12" s="68" t="s">
        <v>432</v>
      </c>
    </row>
    <row r="13" spans="1:25" ht="23.4" customHeight="1" x14ac:dyDescent="0.3">
      <c r="A13" s="57">
        <v>12</v>
      </c>
      <c r="B13" s="68" t="s">
        <v>330</v>
      </c>
      <c r="C13" s="68"/>
      <c r="D13" s="57" t="s">
        <v>263</v>
      </c>
      <c r="E13" s="57" t="s">
        <v>62</v>
      </c>
      <c r="F13" s="70" t="s">
        <v>335</v>
      </c>
      <c r="G13" s="70">
        <v>1</v>
      </c>
      <c r="H13" s="68" t="s">
        <v>334</v>
      </c>
      <c r="I13" s="68" t="s">
        <v>294</v>
      </c>
      <c r="J13" s="68" t="s">
        <v>16</v>
      </c>
      <c r="K13" s="68"/>
      <c r="L13" s="68"/>
      <c r="M13" s="68"/>
      <c r="N13" s="71" t="s">
        <v>127</v>
      </c>
      <c r="O13" s="57" t="s">
        <v>18</v>
      </c>
      <c r="P13" s="72" t="s">
        <v>324</v>
      </c>
      <c r="Q13" s="73" t="s">
        <v>325</v>
      </c>
      <c r="R13" s="73" t="s">
        <v>326</v>
      </c>
      <c r="S13" s="57" t="s">
        <v>406</v>
      </c>
      <c r="T13" s="57" t="s">
        <v>433</v>
      </c>
      <c r="U13" s="57" t="s">
        <v>433</v>
      </c>
      <c r="V13" s="77" t="s">
        <v>434</v>
      </c>
      <c r="Y13" s="68" t="s">
        <v>413</v>
      </c>
    </row>
    <row r="14" spans="1:25" ht="23.4" customHeight="1" x14ac:dyDescent="0.3">
      <c r="A14" s="57">
        <v>13</v>
      </c>
      <c r="B14" s="78" t="s">
        <v>85</v>
      </c>
      <c r="C14" s="68"/>
      <c r="D14" s="57" t="s">
        <v>296</v>
      </c>
      <c r="E14" s="69" t="s">
        <v>41</v>
      </c>
      <c r="F14" s="70" t="s">
        <v>262</v>
      </c>
      <c r="G14" s="70">
        <v>1</v>
      </c>
      <c r="H14" s="68" t="s">
        <v>262</v>
      </c>
      <c r="I14" s="68" t="s">
        <v>262</v>
      </c>
      <c r="J14" s="68" t="s">
        <v>416</v>
      </c>
      <c r="K14" s="68"/>
      <c r="L14" s="68"/>
      <c r="M14" s="68" t="s">
        <v>435</v>
      </c>
      <c r="N14" s="79" t="s">
        <v>148</v>
      </c>
      <c r="O14" s="57" t="s">
        <v>18</v>
      </c>
      <c r="P14" s="72" t="s">
        <v>331</v>
      </c>
      <c r="Q14" s="73" t="s">
        <v>332</v>
      </c>
      <c r="R14" s="73" t="s">
        <v>333</v>
      </c>
      <c r="S14" s="57" t="s">
        <v>436</v>
      </c>
      <c r="T14" s="75" t="s">
        <v>402</v>
      </c>
      <c r="U14" s="75"/>
      <c r="V14" s="77" t="s">
        <v>437</v>
      </c>
      <c r="Y14" s="68" t="s">
        <v>413</v>
      </c>
    </row>
    <row r="15" spans="1:25" ht="23.4" customHeight="1" x14ac:dyDescent="0.3">
      <c r="A15" s="57">
        <v>14</v>
      </c>
      <c r="B15" s="68" t="s">
        <v>339</v>
      </c>
      <c r="C15" s="68"/>
      <c r="D15" s="57" t="s">
        <v>263</v>
      </c>
      <c r="E15" s="69" t="s">
        <v>32</v>
      </c>
      <c r="F15" s="70" t="s">
        <v>438</v>
      </c>
      <c r="G15" s="70">
        <v>1</v>
      </c>
      <c r="H15" s="68" t="s">
        <v>342</v>
      </c>
      <c r="I15" s="68" t="s">
        <v>294</v>
      </c>
      <c r="J15" s="68" t="s">
        <v>16</v>
      </c>
      <c r="K15" s="68"/>
      <c r="L15" s="68"/>
      <c r="M15" s="68"/>
      <c r="N15" s="76" t="s">
        <v>110</v>
      </c>
      <c r="O15" s="57" t="s">
        <v>18</v>
      </c>
      <c r="P15" s="72" t="s">
        <v>336</v>
      </c>
      <c r="Q15" s="73" t="s">
        <v>337</v>
      </c>
      <c r="R15" s="73" t="s">
        <v>338</v>
      </c>
      <c r="S15" s="57" t="s">
        <v>400</v>
      </c>
      <c r="T15" s="57" t="s">
        <v>436</v>
      </c>
      <c r="U15" s="57" t="s">
        <v>436</v>
      </c>
      <c r="Y15" s="68" t="s">
        <v>413</v>
      </c>
    </row>
    <row r="16" spans="1:25" ht="23.4" customHeight="1" x14ac:dyDescent="0.3">
      <c r="A16" s="57">
        <v>15</v>
      </c>
      <c r="B16" s="68" t="s">
        <v>44</v>
      </c>
      <c r="C16" s="68"/>
      <c r="D16" s="57" t="s">
        <v>344</v>
      </c>
      <c r="E16" s="80" t="s">
        <v>46</v>
      </c>
      <c r="F16" s="70">
        <v>1</v>
      </c>
      <c r="G16" s="70">
        <v>1</v>
      </c>
      <c r="H16" s="68" t="s">
        <v>341</v>
      </c>
      <c r="I16" s="68" t="s">
        <v>262</v>
      </c>
      <c r="J16" s="68" t="s">
        <v>16</v>
      </c>
      <c r="K16" s="68"/>
      <c r="L16" s="68"/>
      <c r="M16" s="68"/>
      <c r="N16" s="76" t="s">
        <v>117</v>
      </c>
      <c r="O16" s="57" t="s">
        <v>18</v>
      </c>
      <c r="P16" s="72" t="s">
        <v>340</v>
      </c>
      <c r="Q16" s="73" t="s">
        <v>341</v>
      </c>
      <c r="R16" s="73" t="s">
        <v>341</v>
      </c>
      <c r="S16" s="57" t="s">
        <v>400</v>
      </c>
      <c r="T16" s="57" t="s">
        <v>439</v>
      </c>
      <c r="U16" s="57" t="s">
        <v>440</v>
      </c>
      <c r="W16" s="57" t="s">
        <v>441</v>
      </c>
      <c r="X16" s="57" t="s">
        <v>441</v>
      </c>
      <c r="Y16" s="68" t="s">
        <v>413</v>
      </c>
    </row>
    <row r="17" spans="1:25" ht="23.4" customHeight="1" x14ac:dyDescent="0.3">
      <c r="A17" s="57">
        <v>16</v>
      </c>
      <c r="B17" s="78" t="s">
        <v>88</v>
      </c>
      <c r="C17" s="68"/>
      <c r="D17" s="57" t="s">
        <v>296</v>
      </c>
      <c r="E17" s="69" t="s">
        <v>41</v>
      </c>
      <c r="F17" s="70" t="s">
        <v>262</v>
      </c>
      <c r="G17" s="70">
        <v>1</v>
      </c>
      <c r="H17" s="68" t="s">
        <v>262</v>
      </c>
      <c r="I17" s="68" t="s">
        <v>262</v>
      </c>
      <c r="J17" s="68" t="s">
        <v>416</v>
      </c>
      <c r="K17" s="68"/>
      <c r="L17" s="68" t="s">
        <v>442</v>
      </c>
      <c r="M17" s="68" t="s">
        <v>443</v>
      </c>
      <c r="N17" s="79" t="s">
        <v>141</v>
      </c>
      <c r="O17" s="57" t="s">
        <v>18</v>
      </c>
      <c r="P17" s="72" t="s">
        <v>345</v>
      </c>
      <c r="Q17" s="73" t="s">
        <v>346</v>
      </c>
      <c r="R17" s="73" t="s">
        <v>347</v>
      </c>
      <c r="S17" s="57" t="s">
        <v>400</v>
      </c>
      <c r="T17" s="57" t="s">
        <v>444</v>
      </c>
      <c r="U17" s="57" t="s">
        <v>444</v>
      </c>
      <c r="Y17" s="68" t="s">
        <v>413</v>
      </c>
    </row>
    <row r="18" spans="1:25" ht="23.4" customHeight="1" x14ac:dyDescent="0.3">
      <c r="A18" s="57">
        <v>17</v>
      </c>
      <c r="B18" s="68" t="s">
        <v>73</v>
      </c>
      <c r="C18" s="68"/>
      <c r="D18" s="57" t="s">
        <v>276</v>
      </c>
      <c r="E18" s="69" t="s">
        <v>74</v>
      </c>
      <c r="F18" s="70">
        <v>1</v>
      </c>
      <c r="G18" s="70">
        <v>1</v>
      </c>
      <c r="H18" s="68" t="s">
        <v>354</v>
      </c>
      <c r="I18" s="68" t="s">
        <v>294</v>
      </c>
      <c r="J18" s="68" t="s">
        <v>16</v>
      </c>
      <c r="K18" s="68"/>
      <c r="L18" s="68"/>
      <c r="M18" s="68"/>
      <c r="N18" s="79" t="s">
        <v>142</v>
      </c>
      <c r="O18" s="57" t="s">
        <v>18</v>
      </c>
      <c r="P18" s="72" t="s">
        <v>348</v>
      </c>
      <c r="Q18" s="73" t="s">
        <v>349</v>
      </c>
      <c r="R18" s="81" t="s">
        <v>350</v>
      </c>
      <c r="S18" s="57" t="s">
        <v>400</v>
      </c>
      <c r="T18" s="57" t="s">
        <v>445</v>
      </c>
      <c r="U18" s="57" t="s">
        <v>445</v>
      </c>
      <c r="Y18" s="68" t="s">
        <v>413</v>
      </c>
    </row>
    <row r="19" spans="1:25" ht="23.4" customHeight="1" x14ac:dyDescent="0.3">
      <c r="A19" s="57">
        <v>18</v>
      </c>
      <c r="B19" s="68" t="s">
        <v>77</v>
      </c>
      <c r="C19" s="68"/>
      <c r="D19" s="57" t="s">
        <v>296</v>
      </c>
      <c r="E19" s="69" t="s">
        <v>78</v>
      </c>
      <c r="F19" s="70">
        <v>1</v>
      </c>
      <c r="G19" s="70">
        <v>1</v>
      </c>
      <c r="H19" s="68" t="s">
        <v>358</v>
      </c>
      <c r="I19" s="68" t="s">
        <v>294</v>
      </c>
      <c r="J19" s="68" t="s">
        <v>16</v>
      </c>
      <c r="K19" s="68"/>
      <c r="L19" s="68"/>
      <c r="M19" s="68"/>
      <c r="N19" s="79" t="s">
        <v>144</v>
      </c>
      <c r="O19" s="57" t="s">
        <v>18</v>
      </c>
      <c r="P19" s="72" t="s">
        <v>351</v>
      </c>
      <c r="Q19" s="73" t="s">
        <v>352</v>
      </c>
      <c r="R19" s="73" t="s">
        <v>353</v>
      </c>
      <c r="S19" s="57" t="s">
        <v>400</v>
      </c>
      <c r="T19" s="57" t="s">
        <v>445</v>
      </c>
      <c r="U19" s="57" t="s">
        <v>445</v>
      </c>
      <c r="V19" s="57" t="s">
        <v>446</v>
      </c>
      <c r="Y19" s="68" t="s">
        <v>405</v>
      </c>
    </row>
    <row r="20" spans="1:25" ht="23.4" customHeight="1" x14ac:dyDescent="0.3">
      <c r="A20" s="57">
        <v>19</v>
      </c>
      <c r="B20" s="68" t="s">
        <v>33</v>
      </c>
      <c r="C20" s="68"/>
      <c r="D20" s="57" t="s">
        <v>263</v>
      </c>
      <c r="E20" s="69" t="s">
        <v>34</v>
      </c>
      <c r="F20" s="70" t="s">
        <v>363</v>
      </c>
      <c r="G20" s="70">
        <v>1</v>
      </c>
      <c r="H20" s="68" t="s">
        <v>362</v>
      </c>
      <c r="I20" s="68" t="s">
        <v>294</v>
      </c>
      <c r="J20" s="68" t="s">
        <v>16</v>
      </c>
      <c r="K20" s="68"/>
      <c r="L20" s="68"/>
      <c r="M20" s="68"/>
      <c r="N20" s="76" t="s">
        <v>113</v>
      </c>
      <c r="O20" s="57" t="s">
        <v>18</v>
      </c>
      <c r="P20" s="72" t="s">
        <v>355</v>
      </c>
      <c r="Q20" s="73" t="s">
        <v>356</v>
      </c>
      <c r="R20" s="73" t="s">
        <v>357</v>
      </c>
      <c r="S20" s="57" t="s">
        <v>447</v>
      </c>
      <c r="T20" s="57" t="s">
        <v>447</v>
      </c>
      <c r="U20" s="57" t="s">
        <v>447</v>
      </c>
      <c r="V20" s="77" t="s">
        <v>448</v>
      </c>
      <c r="Y20" s="68" t="s">
        <v>413</v>
      </c>
    </row>
    <row r="21" spans="1:25" ht="23.4" customHeight="1" x14ac:dyDescent="0.3">
      <c r="A21" s="57">
        <v>20</v>
      </c>
      <c r="B21" s="68" t="s">
        <v>17</v>
      </c>
      <c r="C21" s="68"/>
      <c r="D21" s="57" t="s">
        <v>276</v>
      </c>
      <c r="E21" s="69" t="s">
        <v>20</v>
      </c>
      <c r="F21" s="70">
        <v>1</v>
      </c>
      <c r="G21" s="70">
        <v>1</v>
      </c>
      <c r="H21" s="68" t="s">
        <v>366</v>
      </c>
      <c r="I21" s="68" t="s">
        <v>367</v>
      </c>
      <c r="J21" s="68" t="s">
        <v>16</v>
      </c>
      <c r="K21" s="68"/>
      <c r="L21" s="68"/>
      <c r="M21" s="68"/>
      <c r="N21" s="76" t="s">
        <v>114</v>
      </c>
      <c r="O21" s="57" t="s">
        <v>18</v>
      </c>
      <c r="P21" s="72" t="s">
        <v>359</v>
      </c>
      <c r="Q21" s="73" t="s">
        <v>360</v>
      </c>
      <c r="R21" s="73" t="s">
        <v>361</v>
      </c>
      <c r="S21" s="57" t="s">
        <v>400</v>
      </c>
      <c r="T21" s="57" t="s">
        <v>436</v>
      </c>
      <c r="U21" s="57" t="s">
        <v>436</v>
      </c>
      <c r="V21" s="57" t="s">
        <v>449</v>
      </c>
      <c r="Y21" s="68" t="s">
        <v>413</v>
      </c>
    </row>
    <row r="22" spans="1:25" ht="23.4" customHeight="1" x14ac:dyDescent="0.3">
      <c r="A22" s="57">
        <v>21</v>
      </c>
      <c r="B22" s="68" t="s">
        <v>368</v>
      </c>
      <c r="C22" s="68"/>
      <c r="D22" s="57" t="s">
        <v>263</v>
      </c>
      <c r="E22" s="69" t="s">
        <v>37</v>
      </c>
      <c r="F22" s="70">
        <v>1</v>
      </c>
      <c r="G22" s="70">
        <v>1</v>
      </c>
      <c r="H22" s="68" t="s">
        <v>372</v>
      </c>
      <c r="I22" s="68" t="s">
        <v>294</v>
      </c>
      <c r="J22" s="68" t="s">
        <v>16</v>
      </c>
      <c r="K22" s="68"/>
      <c r="L22" s="68"/>
      <c r="M22" s="68"/>
      <c r="N22" s="76" t="s">
        <v>112</v>
      </c>
      <c r="O22" s="57" t="s">
        <v>18</v>
      </c>
      <c r="P22" s="72" t="s">
        <v>364</v>
      </c>
      <c r="Q22" s="73" t="s">
        <v>365</v>
      </c>
      <c r="R22" s="73" t="s">
        <v>365</v>
      </c>
      <c r="S22" s="57" t="s">
        <v>400</v>
      </c>
      <c r="T22" s="57" t="s">
        <v>450</v>
      </c>
      <c r="U22" s="57" t="s">
        <v>450</v>
      </c>
      <c r="W22" s="57" t="s">
        <v>441</v>
      </c>
      <c r="X22" s="57" t="s">
        <v>441</v>
      </c>
      <c r="Y22" s="68" t="s">
        <v>413</v>
      </c>
    </row>
    <row r="23" spans="1:25" ht="23.4" customHeight="1" x14ac:dyDescent="0.3">
      <c r="A23" s="57">
        <v>22</v>
      </c>
      <c r="B23" s="78" t="s">
        <v>66</v>
      </c>
      <c r="C23" s="68"/>
      <c r="D23" s="57" t="s">
        <v>296</v>
      </c>
      <c r="E23" s="69" t="s">
        <v>41</v>
      </c>
      <c r="F23" s="70" t="s">
        <v>262</v>
      </c>
      <c r="G23" s="70">
        <v>1</v>
      </c>
      <c r="H23" s="68" t="s">
        <v>262</v>
      </c>
      <c r="I23" s="68" t="s">
        <v>262</v>
      </c>
      <c r="J23" s="68" t="s">
        <v>416</v>
      </c>
      <c r="K23" s="68"/>
      <c r="L23" s="68" t="s">
        <v>451</v>
      </c>
      <c r="M23" s="68" t="s">
        <v>452</v>
      </c>
      <c r="N23" s="71" t="s">
        <v>134</v>
      </c>
      <c r="O23" s="57" t="s">
        <v>18</v>
      </c>
      <c r="P23" s="72" t="s">
        <v>369</v>
      </c>
      <c r="Q23" s="73" t="s">
        <v>370</v>
      </c>
      <c r="R23" s="73" t="s">
        <v>371</v>
      </c>
      <c r="S23" s="57" t="s">
        <v>400</v>
      </c>
      <c r="T23" s="57" t="s">
        <v>445</v>
      </c>
      <c r="U23" s="57" t="s">
        <v>445</v>
      </c>
      <c r="Y23" s="68" t="s">
        <v>453</v>
      </c>
    </row>
    <row r="24" spans="1:25" ht="23.4" customHeight="1" x14ac:dyDescent="0.3">
      <c r="A24" s="57">
        <v>23</v>
      </c>
      <c r="B24" s="68" t="s">
        <v>84</v>
      </c>
      <c r="C24" s="68"/>
      <c r="D24" s="57" t="s">
        <v>296</v>
      </c>
      <c r="E24" s="69" t="s">
        <v>41</v>
      </c>
      <c r="F24" s="70">
        <v>1</v>
      </c>
      <c r="G24" s="177" t="s">
        <v>262</v>
      </c>
      <c r="H24" s="68" t="s">
        <v>379</v>
      </c>
      <c r="I24" s="68" t="s">
        <v>380</v>
      </c>
      <c r="J24" s="68" t="s">
        <v>16</v>
      </c>
      <c r="K24" s="68"/>
      <c r="L24" s="68"/>
      <c r="M24" s="68"/>
      <c r="N24" s="79" t="s">
        <v>147</v>
      </c>
      <c r="O24" s="57" t="s">
        <v>18</v>
      </c>
      <c r="P24" s="72" t="s">
        <v>373</v>
      </c>
      <c r="Q24" s="73" t="s">
        <v>374</v>
      </c>
      <c r="R24" s="73" t="s">
        <v>375</v>
      </c>
      <c r="S24" s="57" t="s">
        <v>400</v>
      </c>
      <c r="T24" s="57" t="s">
        <v>445</v>
      </c>
      <c r="U24" s="57" t="s">
        <v>445</v>
      </c>
      <c r="Y24" s="68" t="s">
        <v>413</v>
      </c>
    </row>
    <row r="25" spans="1:25" ht="23.4" customHeight="1" x14ac:dyDescent="0.3">
      <c r="A25" s="57">
        <v>24</v>
      </c>
      <c r="B25" s="68" t="s">
        <v>766</v>
      </c>
      <c r="C25" s="68"/>
      <c r="D25" s="57" t="s">
        <v>296</v>
      </c>
      <c r="E25" s="69" t="s">
        <v>68</v>
      </c>
      <c r="F25" s="70" t="s">
        <v>385</v>
      </c>
      <c r="G25" s="70">
        <v>1</v>
      </c>
      <c r="H25" s="68" t="s">
        <v>384</v>
      </c>
      <c r="I25" s="68" t="s">
        <v>294</v>
      </c>
      <c r="J25" s="68" t="s">
        <v>16</v>
      </c>
      <c r="K25" s="68"/>
      <c r="L25" s="68"/>
      <c r="M25" s="68"/>
      <c r="N25" s="71" t="s">
        <v>135</v>
      </c>
      <c r="O25" s="57" t="s">
        <v>18</v>
      </c>
      <c r="P25" s="72" t="s">
        <v>376</v>
      </c>
      <c r="Q25" s="73" t="s">
        <v>377</v>
      </c>
      <c r="R25" s="73" t="s">
        <v>378</v>
      </c>
      <c r="S25" s="57" t="s">
        <v>400</v>
      </c>
      <c r="T25" s="57" t="s">
        <v>454</v>
      </c>
      <c r="U25" s="57" t="s">
        <v>454</v>
      </c>
      <c r="V25" s="77" t="s">
        <v>455</v>
      </c>
      <c r="Y25" s="68" t="s">
        <v>413</v>
      </c>
    </row>
    <row r="26" spans="1:25" ht="23.4" customHeight="1" x14ac:dyDescent="0.3">
      <c r="A26" s="82">
        <v>25</v>
      </c>
      <c r="B26" s="83" t="s">
        <v>82</v>
      </c>
      <c r="C26" s="68"/>
      <c r="F26" s="70"/>
      <c r="G26" s="70"/>
      <c r="H26" s="68"/>
      <c r="I26" s="68"/>
      <c r="J26" s="68"/>
      <c r="K26" s="68"/>
      <c r="L26" s="68"/>
      <c r="M26" s="68"/>
      <c r="N26" s="79" t="s">
        <v>140</v>
      </c>
      <c r="O26" s="57" t="s">
        <v>83</v>
      </c>
      <c r="P26" s="72" t="s">
        <v>381</v>
      </c>
      <c r="Q26" s="73" t="s">
        <v>382</v>
      </c>
      <c r="R26" s="73" t="s">
        <v>383</v>
      </c>
      <c r="S26" s="73" t="s">
        <v>456</v>
      </c>
      <c r="T26" s="57" t="s">
        <v>457</v>
      </c>
      <c r="U26" s="57" t="s">
        <v>457</v>
      </c>
      <c r="V26" s="57" t="s">
        <v>458</v>
      </c>
      <c r="Y26" s="68" t="s">
        <v>413</v>
      </c>
    </row>
    <row r="27" spans="1:25" ht="23.4" customHeight="1" x14ac:dyDescent="0.3">
      <c r="A27" s="82">
        <v>26</v>
      </c>
      <c r="B27" s="83" t="s">
        <v>69</v>
      </c>
      <c r="C27" s="68"/>
      <c r="F27" s="68"/>
      <c r="G27" s="68"/>
      <c r="H27" s="68"/>
      <c r="I27" s="68"/>
      <c r="J27" s="68"/>
      <c r="K27" s="68"/>
      <c r="L27" s="68"/>
      <c r="M27" s="68"/>
      <c r="N27" s="71" t="s">
        <v>123</v>
      </c>
      <c r="O27" s="57" t="s">
        <v>48</v>
      </c>
      <c r="P27" s="72" t="s">
        <v>459</v>
      </c>
      <c r="Q27" s="73" t="s">
        <v>460</v>
      </c>
      <c r="R27" s="73" t="s">
        <v>460</v>
      </c>
      <c r="S27" s="73" t="s">
        <v>461</v>
      </c>
      <c r="T27" s="57" t="s">
        <v>462</v>
      </c>
      <c r="U27" s="57" t="s">
        <v>462</v>
      </c>
      <c r="W27" s="57" t="s">
        <v>441</v>
      </c>
      <c r="X27" s="57" t="s">
        <v>441</v>
      </c>
      <c r="Y27" s="68" t="s">
        <v>463</v>
      </c>
    </row>
    <row r="28" spans="1:25" ht="23.4" customHeight="1" x14ac:dyDescent="0.3">
      <c r="A28" s="82">
        <v>27</v>
      </c>
      <c r="B28" s="83" t="s">
        <v>47</v>
      </c>
      <c r="C28" s="68"/>
      <c r="F28" s="68"/>
      <c r="G28" s="68"/>
      <c r="H28" s="68"/>
      <c r="I28" s="68"/>
      <c r="J28" s="68"/>
      <c r="K28" s="68"/>
      <c r="L28" s="68"/>
      <c r="M28" s="68"/>
      <c r="N28" s="76" t="s">
        <v>106</v>
      </c>
      <c r="O28" s="57" t="s">
        <v>48</v>
      </c>
      <c r="P28" s="72" t="s">
        <v>464</v>
      </c>
      <c r="Q28" s="73" t="s">
        <v>465</v>
      </c>
      <c r="R28" s="73" t="s">
        <v>466</v>
      </c>
      <c r="S28" s="73" t="s">
        <v>467</v>
      </c>
      <c r="T28" s="57" t="s">
        <v>462</v>
      </c>
      <c r="U28" s="57" t="s">
        <v>462</v>
      </c>
      <c r="V28" s="57" t="s">
        <v>468</v>
      </c>
      <c r="Y28" s="68" t="s">
        <v>463</v>
      </c>
    </row>
    <row r="29" spans="1:25" ht="23.4" customHeight="1" x14ac:dyDescent="0.3">
      <c r="A29" s="82">
        <v>28</v>
      </c>
      <c r="B29" s="83" t="s">
        <v>469</v>
      </c>
      <c r="C29" s="68"/>
      <c r="F29" s="68"/>
      <c r="G29" s="68"/>
      <c r="H29" s="68"/>
      <c r="I29" s="68"/>
      <c r="J29" s="68"/>
      <c r="K29" s="68"/>
      <c r="L29" s="68"/>
      <c r="M29" s="68"/>
      <c r="N29" s="71" t="s">
        <v>125</v>
      </c>
      <c r="O29" s="57" t="s">
        <v>50</v>
      </c>
      <c r="P29" s="72" t="s">
        <v>470</v>
      </c>
      <c r="Q29" s="73" t="s">
        <v>471</v>
      </c>
      <c r="R29" s="73" t="s">
        <v>471</v>
      </c>
      <c r="S29" s="73" t="s">
        <v>472</v>
      </c>
      <c r="T29" s="57" t="s">
        <v>462</v>
      </c>
      <c r="U29" s="57" t="s">
        <v>462</v>
      </c>
      <c r="Y29" s="68" t="s">
        <v>473</v>
      </c>
    </row>
    <row r="30" spans="1:25" ht="23.4" customHeight="1" x14ac:dyDescent="0.3">
      <c r="A30" s="82">
        <v>29</v>
      </c>
      <c r="B30" s="83" t="s">
        <v>49</v>
      </c>
      <c r="C30" s="68"/>
      <c r="F30" s="68"/>
      <c r="G30" s="68"/>
      <c r="H30" s="68"/>
      <c r="I30" s="68"/>
      <c r="J30" s="68"/>
      <c r="K30" s="68"/>
      <c r="L30" s="68"/>
      <c r="M30" s="68"/>
      <c r="N30" s="76" t="s">
        <v>108</v>
      </c>
      <c r="O30" s="57" t="s">
        <v>50</v>
      </c>
      <c r="P30" s="73" t="s">
        <v>474</v>
      </c>
      <c r="Q30" s="73" t="s">
        <v>475</v>
      </c>
      <c r="R30" s="73" t="s">
        <v>475</v>
      </c>
      <c r="S30" s="57" t="s">
        <v>436</v>
      </c>
      <c r="V30" s="57" t="s">
        <v>476</v>
      </c>
      <c r="Y30" s="68" t="s">
        <v>463</v>
      </c>
    </row>
    <row r="31" spans="1:25" ht="23.4" customHeight="1" x14ac:dyDescent="0.3">
      <c r="A31" s="82">
        <v>30</v>
      </c>
      <c r="B31" s="83" t="s">
        <v>81</v>
      </c>
      <c r="C31" s="68"/>
      <c r="F31" s="68"/>
      <c r="G31" s="68"/>
      <c r="H31" s="68"/>
      <c r="I31" s="68"/>
      <c r="J31" s="68"/>
      <c r="K31" s="68"/>
      <c r="L31" s="68"/>
      <c r="M31" s="68"/>
      <c r="N31" s="79" t="s">
        <v>139</v>
      </c>
      <c r="O31" s="57" t="s">
        <v>80</v>
      </c>
      <c r="P31" s="72" t="s">
        <v>477</v>
      </c>
      <c r="Q31" s="73" t="s">
        <v>478</v>
      </c>
      <c r="R31" s="73" t="s">
        <v>479</v>
      </c>
      <c r="S31" s="73" t="s">
        <v>480</v>
      </c>
      <c r="T31" s="57" t="s">
        <v>457</v>
      </c>
      <c r="U31" s="57" t="s">
        <v>457</v>
      </c>
      <c r="W31" s="77" t="s">
        <v>481</v>
      </c>
      <c r="Y31" s="68" t="s">
        <v>482</v>
      </c>
    </row>
    <row r="32" spans="1:25" ht="23.4" customHeight="1" x14ac:dyDescent="0.3">
      <c r="A32" s="82">
        <v>31</v>
      </c>
      <c r="B32" s="83" t="s">
        <v>79</v>
      </c>
      <c r="C32" s="68"/>
      <c r="F32" s="68"/>
      <c r="G32" s="68"/>
      <c r="H32" s="68"/>
      <c r="I32" s="68"/>
      <c r="J32" s="68"/>
      <c r="K32" s="68"/>
      <c r="L32" s="68"/>
      <c r="M32" s="68"/>
      <c r="N32" s="79" t="s">
        <v>138</v>
      </c>
      <c r="O32" s="57" t="s">
        <v>80</v>
      </c>
      <c r="P32" s="72" t="s">
        <v>483</v>
      </c>
      <c r="Q32" s="73" t="s">
        <v>484</v>
      </c>
      <c r="R32" s="73" t="s">
        <v>485</v>
      </c>
      <c r="S32" s="73" t="s">
        <v>486</v>
      </c>
      <c r="T32" s="57" t="s">
        <v>457</v>
      </c>
      <c r="U32" s="57" t="s">
        <v>457</v>
      </c>
      <c r="V32" s="57" t="s">
        <v>487</v>
      </c>
      <c r="Y32" s="68" t="s">
        <v>488</v>
      </c>
    </row>
    <row r="33" spans="1:25" ht="21" customHeight="1" x14ac:dyDescent="0.3">
      <c r="A33" s="57" t="s">
        <v>489</v>
      </c>
      <c r="B33" s="57" t="s">
        <v>255</v>
      </c>
      <c r="D33" s="57" t="s">
        <v>256</v>
      </c>
      <c r="E33" s="57" t="s">
        <v>256</v>
      </c>
      <c r="F33" s="57">
        <v>1</v>
      </c>
      <c r="H33" s="80" t="s">
        <v>260</v>
      </c>
      <c r="I33" s="84" t="s">
        <v>261</v>
      </c>
      <c r="J33" s="84"/>
      <c r="K33" s="84"/>
      <c r="L33" s="84"/>
      <c r="M33" s="84"/>
      <c r="N33" s="56" t="s">
        <v>262</v>
      </c>
      <c r="O33" s="57" t="s">
        <v>18</v>
      </c>
      <c r="P33" s="73" t="s">
        <v>490</v>
      </c>
      <c r="Q33" s="73" t="s">
        <v>491</v>
      </c>
      <c r="R33" s="73" t="s">
        <v>491</v>
      </c>
      <c r="S33" s="57" t="s">
        <v>400</v>
      </c>
      <c r="T33" s="57" t="s">
        <v>59</v>
      </c>
      <c r="U33" s="73" t="s">
        <v>59</v>
      </c>
      <c r="Y33" s="68" t="s">
        <v>488</v>
      </c>
    </row>
  </sheetData>
  <autoFilter ref="A1:O32" xr:uid="{916C46A1-E742-4952-AED0-270A04A90DC0}">
    <sortState xmlns:xlrd2="http://schemas.microsoft.com/office/spreadsheetml/2017/richdata2" ref="A2:O33">
      <sortCondition ref="A1:A32"/>
    </sortState>
  </autoFilter>
  <hyperlinks>
    <hyperlink ref="P3" r:id="rId1" xr:uid="{C2720623-A089-49CC-9D91-ABA6F8A22C58}"/>
    <hyperlink ref="P2" r:id="rId2" xr:uid="{0397008E-CCCF-4C9D-9DA5-985D7618D866}"/>
    <hyperlink ref="P4" r:id="rId3" xr:uid="{0D50ED93-877C-4A2A-A39D-05EA31D0BF43}"/>
    <hyperlink ref="P5" r:id="rId4" xr:uid="{F68522C3-5F2C-4F50-BCE8-11E1454AB001}"/>
    <hyperlink ref="P6" r:id="rId5" xr:uid="{02E9F758-F98D-4DAB-84FD-7A8B59428D25}"/>
    <hyperlink ref="P7" r:id="rId6" xr:uid="{A9042086-159A-4B16-8695-DF46CD071CA9}"/>
    <hyperlink ref="P8" r:id="rId7" xr:uid="{2F8022BA-50DC-4454-8725-EA990065534A}"/>
    <hyperlink ref="P9" r:id="rId8" xr:uid="{672F1E59-F34F-4B48-9DBC-5EF11164A364}"/>
    <hyperlink ref="P10" r:id="rId9" xr:uid="{3EF30903-AECA-48C1-9F5B-FD152460BD9B}"/>
    <hyperlink ref="P11" r:id="rId10" xr:uid="{9D7C67B1-1C95-4D93-83C9-6AD3B2F9A671}"/>
    <hyperlink ref="P12" r:id="rId11" xr:uid="{97A75B12-684C-4040-A3D9-9E3DCE5A0325}"/>
    <hyperlink ref="P15" r:id="rId12" xr:uid="{7B61382F-47A1-453A-808B-456948B492A6}"/>
    <hyperlink ref="P16" r:id="rId13" xr:uid="{B6CBD3D8-FD11-43B0-8410-73EBC184A100}"/>
    <hyperlink ref="P17" r:id="rId14" xr:uid="{88AA5FF9-EB73-4A73-9D2F-9FEE2A8B4C2C}"/>
    <hyperlink ref="P18" r:id="rId15" xr:uid="{97768EBA-811B-44B7-BC3B-5014785EA515}"/>
    <hyperlink ref="P19" r:id="rId16" xr:uid="{F5767F43-B7B7-402A-8B1E-E9943C401683}"/>
    <hyperlink ref="P21" r:id="rId17" xr:uid="{8DAA5EE9-33BE-4122-B284-252C611CDDBF}"/>
    <hyperlink ref="P22" r:id="rId18" xr:uid="{3460FA6C-7705-4ABB-9756-F4A6CB2879F1}"/>
    <hyperlink ref="P23" r:id="rId19" xr:uid="{12489318-A2CD-4488-9E11-79766976F7D5}"/>
    <hyperlink ref="P24" r:id="rId20" xr:uid="{306B7757-84DE-4599-8A5E-9C7397FBD408}"/>
    <hyperlink ref="P25" r:id="rId21" xr:uid="{A09F3285-2C24-4A71-8434-E9D3A2964B44}"/>
    <hyperlink ref="P26" r:id="rId22" xr:uid="{A7C4DDE6-DBF0-4D9B-BF3F-BACDBBF16A65}"/>
    <hyperlink ref="S26" r:id="rId23" xr:uid="{5CF9D18B-2915-4EC0-A4AF-3E12AAFD203F}"/>
    <hyperlink ref="P27" r:id="rId24" xr:uid="{0E417118-2C85-40A6-A7C5-85DD46832E8D}"/>
    <hyperlink ref="S27" r:id="rId25" xr:uid="{CE5B294F-6144-4938-8883-B7A9602B3F81}"/>
    <hyperlink ref="P28" r:id="rId26" xr:uid="{2650A46A-748F-4928-AF2F-E8F6697745A7}"/>
    <hyperlink ref="P29" r:id="rId27" xr:uid="{2CBBF57F-0088-405D-A945-4EE7A6F344EF}"/>
    <hyperlink ref="S29" r:id="rId28" location="metadata_info_tab_contents" xr:uid="{D5AA2E11-2C72-4921-8A72-2E23A46D3910}"/>
    <hyperlink ref="P30" r:id="rId29" xr:uid="{FC27730A-DAD5-4789-925E-9A811EBFB6FA}"/>
    <hyperlink ref="P31" r:id="rId30" xr:uid="{58ABDD01-A2FB-4306-93FF-784BA000D105}"/>
    <hyperlink ref="S31" r:id="rId31" xr:uid="{B30F5442-D6B9-42DD-8156-C6689260F52E}"/>
    <hyperlink ref="P32" r:id="rId32" xr:uid="{A6E6C992-B138-4C47-97DB-7F786FF6A279}"/>
    <hyperlink ref="S28" r:id="rId33" xr:uid="{41040000-6424-48A7-9F85-2CACF7EF8805}"/>
    <hyperlink ref="S32" r:id="rId34" xr:uid="{0490C24F-D519-4DE0-A528-23DC656473AA}"/>
    <hyperlink ref="R4" r:id="rId35" xr:uid="{206EE4A1-AAA4-41FB-B141-BFECFDB9A47B}"/>
    <hyperlink ref="Q3" r:id="rId36" xr:uid="{FE09505E-FC96-4ED7-B3A3-B9A3386B195E}"/>
    <hyperlink ref="R3" r:id="rId37" xr:uid="{B6ABE3C5-EC49-4A61-AAD2-EBE413F3A073}"/>
    <hyperlink ref="Q2" r:id="rId38" xr:uid="{A35EAE0E-650E-47CD-9266-15F692985597}"/>
    <hyperlink ref="R2" r:id="rId39" xr:uid="{D8E33C60-88B7-44A0-9630-79F29270ACB7}"/>
    <hyperlink ref="Q5" r:id="rId40" xr:uid="{BC56904B-851C-46AE-A8F9-9D1DE1C22B2B}"/>
    <hyperlink ref="R5" r:id="rId41" xr:uid="{744DB6A2-2B22-4EFD-AEA1-B54125743009}"/>
    <hyperlink ref="Q4" r:id="rId42" xr:uid="{1EAF88AD-DAA9-453C-BC1B-5F3E2723A237}"/>
    <hyperlink ref="Q6" r:id="rId43" xr:uid="{4E1F03C2-A1CF-41B3-B9B0-B2812C1B797C}"/>
    <hyperlink ref="R6" r:id="rId44" xr:uid="{39238F85-AE94-4B99-AAD3-949A6C108F0D}"/>
    <hyperlink ref="Q7" r:id="rId45" xr:uid="{47896933-23FC-4D86-897B-452180877F01}"/>
    <hyperlink ref="R7" r:id="rId46" xr:uid="{672E766C-7A00-4A0B-A042-2BF315B62BED}"/>
    <hyperlink ref="Q8" r:id="rId47" xr:uid="{D6B6D180-950D-4FC1-BAF6-97E9A8456E1C}"/>
    <hyperlink ref="R8" r:id="rId48" xr:uid="{5404E530-06A3-4744-92CE-B6AB6FBBA9A2}"/>
    <hyperlink ref="Q9" r:id="rId49" xr:uid="{12AA575B-9CDD-42A4-AA55-E28172C9283E}"/>
    <hyperlink ref="R9" r:id="rId50" xr:uid="{6B2201E7-3020-451D-8597-E0B724E17DCB}"/>
    <hyperlink ref="R10" r:id="rId51" xr:uid="{1A640693-8253-4A5E-AAE3-F7C87D3BEF92}"/>
    <hyperlink ref="Q10" r:id="rId52" xr:uid="{886838D1-FF94-4C40-9948-0BD39E15382D}"/>
    <hyperlink ref="Q11" r:id="rId53" xr:uid="{04F20399-966E-4BDC-9693-29E65D456A57}"/>
    <hyperlink ref="R11" r:id="rId54" xr:uid="{CD6C1663-6830-4097-861E-48F412ED96B6}"/>
    <hyperlink ref="Q26" r:id="rId55" xr:uid="{0EE38A36-6B9C-4341-B09A-FA25F937C456}"/>
    <hyperlink ref="R26" r:id="rId56" xr:uid="{35D4618F-B795-443F-979B-2D47E1D5C950}"/>
    <hyperlink ref="R31" r:id="rId57" xr:uid="{B44FF15E-E691-4183-AA96-A2E2BFE2DD11}"/>
    <hyperlink ref="R32" r:id="rId58" xr:uid="{3D367E56-A4EA-4300-AC35-F0757E5EF4B3}"/>
    <hyperlink ref="Q32" r:id="rId59" xr:uid="{026102F9-3A16-4FA2-BDE2-DA448E8EEC05}"/>
    <hyperlink ref="P33" r:id="rId60" xr:uid="{797735AD-DA82-4C0F-B750-7F0E6A69FBFC}"/>
    <hyperlink ref="Q33" r:id="rId61" xr:uid="{AC849797-9D35-41B0-A0D5-E467414023E9}"/>
    <hyperlink ref="U33" r:id="rId62" xr:uid="{236A8D56-C51E-4A08-9C60-D2B3DDF93F12}"/>
    <hyperlink ref="R33" r:id="rId63" xr:uid="{C281DBCC-8A58-406D-A50E-2280986C81B5}"/>
    <hyperlink ref="P14" r:id="rId64" xr:uid="{0D6F2EDF-22AE-4D6F-B6E8-EDEAFB30C14A}"/>
    <hyperlink ref="P20" r:id="rId65" xr:uid="{EF8C2D92-98BE-4541-A86B-C5689F0AE0E9}"/>
    <hyperlink ref="R20" r:id="rId66" xr:uid="{F4E29DCC-A2E5-4976-8678-056E3444D1F1}"/>
    <hyperlink ref="Q20" r:id="rId67" xr:uid="{259BA463-12F8-4356-9538-628B205655D6}"/>
    <hyperlink ref="P13" r:id="rId68" xr:uid="{0E1812C8-92AA-4808-B0EE-3C7F07432FE3}"/>
    <hyperlink ref="Q13" r:id="rId69" xr:uid="{D1C0065A-4F5B-43B4-A887-5AD49FCF7788}"/>
    <hyperlink ref="R13" r:id="rId70" xr:uid="{B95078F3-DC17-4165-A491-66C922FC6281}"/>
    <hyperlink ref="R12" r:id="rId71" xr:uid="{C6F7B0D1-D1AC-4D9B-9470-4B69F78B4E9E}"/>
    <hyperlink ref="Q12" r:id="rId72" xr:uid="{A87EE713-1FCD-4054-8496-1F940B60049A}"/>
    <hyperlink ref="Q14" r:id="rId73" xr:uid="{F8039C13-0A7B-40F6-9652-17F1F9B81E1C}"/>
    <hyperlink ref="Q15" r:id="rId74" xr:uid="{47DF25E4-924E-4064-ADB8-9B17E38C6C3C}"/>
    <hyperlink ref="R15" r:id="rId75" xr:uid="{011A401D-4146-4A53-9A1F-B79C6926ECD7}"/>
    <hyperlink ref="Q16" r:id="rId76" xr:uid="{2C453FF2-EF8D-4B03-A3F0-4B076E4E688E}"/>
    <hyperlink ref="R16" r:id="rId77" xr:uid="{C7D5BC64-5CC9-421B-81E7-47A6B2AF138D}"/>
    <hyperlink ref="Q17" r:id="rId78" xr:uid="{E977890B-D947-422E-B444-E3FE3F66E42E}"/>
    <hyperlink ref="R17" r:id="rId79" xr:uid="{905049DF-378F-46CC-8AD2-CCE113E008A3}"/>
    <hyperlink ref="Q18" r:id="rId80" xr:uid="{C2100990-4A9C-48A3-86B7-065CD207074F}"/>
    <hyperlink ref="R18" r:id="rId81" xr:uid="{BA787352-2937-4AD3-9F48-DD926C75F16B}"/>
    <hyperlink ref="Q19" r:id="rId82" xr:uid="{6663635E-2EF8-4931-A704-FAFF5AF1EDD6}"/>
    <hyperlink ref="R19" r:id="rId83" xr:uid="{C9B7F448-1BE7-4817-AD68-AEAC01BF53A2}"/>
    <hyperlink ref="Q21" r:id="rId84" xr:uid="{7AE15CD7-E7CE-4B40-8E13-E3F361ABD060}"/>
    <hyperlink ref="R21" r:id="rId85" xr:uid="{0A8E5E40-CA6F-479E-AA77-5BBD6CF1FE96}"/>
    <hyperlink ref="Q22" r:id="rId86" xr:uid="{1A71E7D4-3304-4B54-B3FF-71751EA65975}"/>
    <hyperlink ref="R22" r:id="rId87" xr:uid="{F72B9632-C3AC-4F25-B87B-FF08EDAD2251}"/>
    <hyperlink ref="R23" r:id="rId88" xr:uid="{1AE5BF6D-BF8C-48AA-B2C8-4A5FF9A90D45}"/>
    <hyperlink ref="Q23" r:id="rId89" xr:uid="{CD2AF3DB-D4DA-4C49-BD11-E398273A6781}"/>
    <hyperlink ref="Q24" r:id="rId90" xr:uid="{C987C1B2-ED96-4783-BCA8-3426AC6A0DEE}"/>
    <hyperlink ref="R24" r:id="rId91" xr:uid="{DA31CB06-1221-4D71-B262-7912C6929C96}"/>
    <hyperlink ref="Q25" r:id="rId92" xr:uid="{515A01BE-81CD-40B1-BC28-ABADA95AE43A}"/>
    <hyperlink ref="R25" r:id="rId93" xr:uid="{93EAC7D8-01F0-4FF9-8398-D0FC3D794CF3}"/>
    <hyperlink ref="Q27" r:id="rId94" xr:uid="{B03F424B-E5B4-4BF5-BF93-939A196175D5}"/>
    <hyperlink ref="R27" r:id="rId95" xr:uid="{CB8330D4-791D-4379-8452-AA22EE730D62}"/>
    <hyperlink ref="Q28" r:id="rId96" xr:uid="{574ADC38-AE00-447B-9C98-C5AFEAF62596}"/>
    <hyperlink ref="R28" r:id="rId97" xr:uid="{EC875834-E8C9-4142-BB4B-B5FDE3E5E9DF}"/>
    <hyperlink ref="Q29" r:id="rId98" xr:uid="{CA3698A1-6273-4187-844E-1151D9A99345}"/>
    <hyperlink ref="R29" r:id="rId99" xr:uid="{4F5E018F-BEFC-495B-90AF-B3089D25EB5F}"/>
    <hyperlink ref="R30" r:id="rId100" xr:uid="{A04139A7-EE8A-4ECD-A29A-458E1401AC8C}"/>
    <hyperlink ref="Q30" r:id="rId101" xr:uid="{DACEED70-C6FE-48CB-871C-D0504A9E076E}"/>
    <hyperlink ref="Q31" r:id="rId102" xr:uid="{D84D90B2-A683-43AE-883D-D59383C892C9}"/>
    <hyperlink ref="R14" r:id="rId103" xr:uid="{96C0BCFA-2108-4635-96C6-4A1ADEC03ABB}"/>
  </hyperlinks>
  <pageMargins left="0.7" right="0.7" top="0.75" bottom="0.75" header="0.3" footer="0.3"/>
  <pageSetup paperSize="9" orientation="portrait" r:id="rId104"/>
  <legacyDrawing r:id="rId10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9B13-4717-4A76-BE93-E02840382332}">
  <dimension ref="A1:X33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9" sqref="A19:XFD19"/>
    </sheetView>
  </sheetViews>
  <sheetFormatPr defaultRowHeight="13.2" x14ac:dyDescent="0.25"/>
  <cols>
    <col min="1" max="1" width="8.88671875" style="57"/>
    <col min="2" max="2" width="28.6640625" style="57" customWidth="1"/>
    <col min="3" max="3" width="12.21875" style="57" customWidth="1"/>
    <col min="4" max="5" width="16.6640625" style="57" customWidth="1"/>
    <col min="6" max="6" width="21" style="57" customWidth="1"/>
    <col min="7" max="7" width="23" style="57" customWidth="1"/>
    <col min="8" max="8" width="22.88671875" style="57" customWidth="1"/>
    <col min="9" max="9" width="17.44140625" style="57" customWidth="1"/>
    <col min="10" max="10" width="20" style="57" customWidth="1"/>
    <col min="11" max="11" width="18.77734375" style="57" customWidth="1"/>
    <col min="12" max="12" width="19.5546875" style="57" customWidth="1"/>
    <col min="13" max="13" width="8.88671875" style="56"/>
    <col min="14" max="14" width="16.44140625" style="57" customWidth="1"/>
    <col min="15" max="15" width="22.44140625" style="58" customWidth="1"/>
    <col min="16" max="16" width="20.21875" style="57" customWidth="1"/>
    <col min="17" max="17" width="17.109375" style="57" customWidth="1"/>
    <col min="18" max="19" width="25.6640625" style="57" customWidth="1"/>
    <col min="20" max="20" width="42.77734375" style="57" customWidth="1"/>
    <col min="21" max="21" width="56.33203125" style="57" customWidth="1"/>
    <col min="22" max="23" width="42.77734375" style="57" customWidth="1"/>
    <col min="24" max="24" width="12.88671875" style="57" customWidth="1"/>
    <col min="25" max="16384" width="8.88671875" style="56"/>
  </cols>
  <sheetData>
    <row r="1" spans="1:24" s="58" customFormat="1" ht="37.799999999999997" customHeight="1" x14ac:dyDescent="0.3">
      <c r="A1" s="58" t="s">
        <v>246</v>
      </c>
      <c r="B1" s="68" t="s">
        <v>3</v>
      </c>
      <c r="C1" s="68" t="s">
        <v>247</v>
      </c>
      <c r="D1" s="58" t="s">
        <v>5</v>
      </c>
      <c r="E1" s="58" t="s">
        <v>6</v>
      </c>
      <c r="F1" s="68" t="s">
        <v>386</v>
      </c>
      <c r="G1" s="68" t="s">
        <v>387</v>
      </c>
      <c r="H1" s="68" t="s">
        <v>388</v>
      </c>
      <c r="I1" s="68" t="s">
        <v>389</v>
      </c>
      <c r="J1" s="68"/>
      <c r="K1" s="68" t="s">
        <v>390</v>
      </c>
      <c r="L1" s="68" t="s">
        <v>391</v>
      </c>
      <c r="M1" s="68" t="s">
        <v>392</v>
      </c>
      <c r="N1" s="58" t="s">
        <v>4</v>
      </c>
      <c r="O1" s="58" t="s">
        <v>248</v>
      </c>
      <c r="P1" s="58" t="s">
        <v>249</v>
      </c>
      <c r="Q1" s="58" t="s">
        <v>250</v>
      </c>
      <c r="R1" s="58" t="s">
        <v>393</v>
      </c>
      <c r="S1" s="58" t="s">
        <v>394</v>
      </c>
      <c r="T1" s="58" t="s">
        <v>395</v>
      </c>
      <c r="U1" s="58" t="s">
        <v>396</v>
      </c>
      <c r="V1" s="58" t="s">
        <v>397</v>
      </c>
      <c r="W1" s="58" t="s">
        <v>398</v>
      </c>
      <c r="X1" s="68" t="s">
        <v>399</v>
      </c>
    </row>
    <row r="2" spans="1:24" s="57" customFormat="1" ht="23.4" customHeight="1" x14ac:dyDescent="0.3">
      <c r="A2" s="57">
        <v>1</v>
      </c>
      <c r="B2" s="68" t="s">
        <v>58</v>
      </c>
      <c r="C2" s="68"/>
      <c r="D2" s="57" t="s">
        <v>263</v>
      </c>
      <c r="E2" s="69" t="s">
        <v>264</v>
      </c>
      <c r="F2" s="70">
        <v>1</v>
      </c>
      <c r="G2" s="68" t="s">
        <v>268</v>
      </c>
      <c r="H2" s="60" t="s">
        <v>269</v>
      </c>
      <c r="I2" s="68" t="s">
        <v>16</v>
      </c>
      <c r="J2" s="68"/>
      <c r="K2" s="68"/>
      <c r="L2" s="68"/>
      <c r="M2" s="71" t="s">
        <v>126</v>
      </c>
      <c r="N2" s="57" t="s">
        <v>18</v>
      </c>
      <c r="O2" s="72" t="s">
        <v>257</v>
      </c>
      <c r="P2" s="73" t="s">
        <v>258</v>
      </c>
      <c r="Q2" s="73" t="s">
        <v>259</v>
      </c>
      <c r="R2" s="58" t="s">
        <v>400</v>
      </c>
      <c r="S2" s="74" t="s">
        <v>401</v>
      </c>
      <c r="T2" s="75" t="s">
        <v>402</v>
      </c>
      <c r="W2" s="57" t="s">
        <v>403</v>
      </c>
      <c r="X2" s="57" t="s">
        <v>262</v>
      </c>
    </row>
    <row r="3" spans="1:24" s="57" customFormat="1" ht="23.4" customHeight="1" x14ac:dyDescent="0.3">
      <c r="A3" s="57">
        <v>2</v>
      </c>
      <c r="B3" s="68" t="s">
        <v>23</v>
      </c>
      <c r="C3" s="68" t="s">
        <v>270</v>
      </c>
      <c r="D3" s="57" t="s">
        <v>263</v>
      </c>
      <c r="E3" s="69" t="s">
        <v>264</v>
      </c>
      <c r="F3" s="70">
        <v>1</v>
      </c>
      <c r="G3" s="68" t="s">
        <v>274</v>
      </c>
      <c r="H3" s="68" t="s">
        <v>275</v>
      </c>
      <c r="I3" s="68" t="s">
        <v>16</v>
      </c>
      <c r="J3" s="68"/>
      <c r="K3" s="68"/>
      <c r="L3" s="68"/>
      <c r="M3" s="76" t="s">
        <v>109</v>
      </c>
      <c r="N3" s="57" t="s">
        <v>18</v>
      </c>
      <c r="O3" s="72" t="s">
        <v>265</v>
      </c>
      <c r="P3" s="73" t="s">
        <v>266</v>
      </c>
      <c r="Q3" s="73" t="s">
        <v>267</v>
      </c>
      <c r="R3" s="58" t="s">
        <v>400</v>
      </c>
      <c r="S3" s="74" t="s">
        <v>404</v>
      </c>
      <c r="T3" s="74" t="s">
        <v>404</v>
      </c>
      <c r="X3" s="68" t="s">
        <v>405</v>
      </c>
    </row>
    <row r="4" spans="1:24" s="57" customFormat="1" ht="23.4" customHeight="1" x14ac:dyDescent="0.3">
      <c r="A4" s="57">
        <v>3</v>
      </c>
      <c r="B4" s="68" t="s">
        <v>55</v>
      </c>
      <c r="C4" s="68"/>
      <c r="D4" s="57" t="s">
        <v>276</v>
      </c>
      <c r="E4" s="57" t="s">
        <v>277</v>
      </c>
      <c r="F4" s="70">
        <v>1</v>
      </c>
      <c r="G4" s="68" t="s">
        <v>281</v>
      </c>
      <c r="H4" s="68" t="s">
        <v>282</v>
      </c>
      <c r="I4" s="68" t="s">
        <v>16</v>
      </c>
      <c r="J4" s="68"/>
      <c r="K4" s="68"/>
      <c r="L4" s="68"/>
      <c r="M4" s="71" t="s">
        <v>130</v>
      </c>
      <c r="N4" s="57" t="s">
        <v>18</v>
      </c>
      <c r="O4" s="72" t="s">
        <v>271</v>
      </c>
      <c r="P4" s="73" t="s">
        <v>272</v>
      </c>
      <c r="Q4" s="73" t="s">
        <v>273</v>
      </c>
      <c r="R4" s="58" t="s">
        <v>406</v>
      </c>
      <c r="S4" s="75" t="s">
        <v>402</v>
      </c>
      <c r="T4" s="75" t="s">
        <v>402</v>
      </c>
      <c r="U4" s="77" t="s">
        <v>407</v>
      </c>
      <c r="V4" s="58" t="s">
        <v>408</v>
      </c>
      <c r="W4" s="58" t="s">
        <v>408</v>
      </c>
      <c r="X4" s="68" t="s">
        <v>409</v>
      </c>
    </row>
    <row r="5" spans="1:24" s="57" customFormat="1" ht="23.4" customHeight="1" x14ac:dyDescent="0.3">
      <c r="A5" s="57">
        <v>4</v>
      </c>
      <c r="B5" s="68" t="s">
        <v>28</v>
      </c>
      <c r="C5" s="68"/>
      <c r="D5" s="57" t="s">
        <v>263</v>
      </c>
      <c r="E5" s="69" t="s">
        <v>29</v>
      </c>
      <c r="F5" s="70" t="s">
        <v>410</v>
      </c>
      <c r="G5" s="68" t="s">
        <v>411</v>
      </c>
      <c r="H5" s="68" t="s">
        <v>294</v>
      </c>
      <c r="I5" s="68" t="s">
        <v>16</v>
      </c>
      <c r="J5" s="68" t="s">
        <v>412</v>
      </c>
      <c r="K5" s="68"/>
      <c r="L5" s="68"/>
      <c r="M5" s="76" t="s">
        <v>111</v>
      </c>
      <c r="N5" s="57" t="s">
        <v>18</v>
      </c>
      <c r="O5" s="73" t="s">
        <v>278</v>
      </c>
      <c r="P5" s="73" t="s">
        <v>279</v>
      </c>
      <c r="Q5" s="73" t="s">
        <v>280</v>
      </c>
      <c r="R5" s="57" t="s">
        <v>400</v>
      </c>
      <c r="S5" s="75" t="s">
        <v>402</v>
      </c>
      <c r="T5" s="75" t="s">
        <v>402</v>
      </c>
      <c r="X5" s="68" t="s">
        <v>413</v>
      </c>
    </row>
    <row r="6" spans="1:24" s="57" customFormat="1" ht="23.4" customHeight="1" x14ac:dyDescent="0.3">
      <c r="A6" s="57">
        <v>5</v>
      </c>
      <c r="B6" s="68" t="s">
        <v>116</v>
      </c>
      <c r="C6" s="68"/>
      <c r="D6" s="57" t="s">
        <v>276</v>
      </c>
      <c r="E6" s="69" t="s">
        <v>53</v>
      </c>
      <c r="F6" s="70" t="s">
        <v>414</v>
      </c>
      <c r="G6" s="78" t="s">
        <v>293</v>
      </c>
      <c r="H6" s="78" t="s">
        <v>294</v>
      </c>
      <c r="I6" s="78" t="s">
        <v>16</v>
      </c>
      <c r="J6" s="78"/>
      <c r="K6" s="78"/>
      <c r="L6" s="78"/>
      <c r="M6" s="76" t="s">
        <v>115</v>
      </c>
      <c r="N6" s="57" t="s">
        <v>18</v>
      </c>
      <c r="O6" s="72" t="s">
        <v>284</v>
      </c>
      <c r="P6" s="73" t="s">
        <v>285</v>
      </c>
      <c r="Q6" s="73" t="s">
        <v>286</v>
      </c>
      <c r="R6" s="57" t="s">
        <v>400</v>
      </c>
      <c r="S6" s="74" t="s">
        <v>415</v>
      </c>
      <c r="T6" s="74" t="s">
        <v>415</v>
      </c>
      <c r="X6" s="68" t="s">
        <v>413</v>
      </c>
    </row>
    <row r="7" spans="1:24" s="57" customFormat="1" ht="23.4" customHeight="1" x14ac:dyDescent="0.3">
      <c r="A7" s="57">
        <v>6</v>
      </c>
      <c r="B7" s="68" t="s">
        <v>65</v>
      </c>
      <c r="C7" s="68"/>
      <c r="D7" s="57" t="s">
        <v>296</v>
      </c>
      <c r="E7" s="69" t="s">
        <v>41</v>
      </c>
      <c r="F7" s="70">
        <v>1</v>
      </c>
      <c r="G7" s="68" t="s">
        <v>300</v>
      </c>
      <c r="H7" s="68" t="s">
        <v>301</v>
      </c>
      <c r="I7" s="68" t="s">
        <v>16</v>
      </c>
      <c r="J7" s="68"/>
      <c r="K7" s="68"/>
      <c r="L7" s="68"/>
      <c r="M7" s="71" t="s">
        <v>131</v>
      </c>
      <c r="N7" s="57" t="s">
        <v>18</v>
      </c>
      <c r="O7" s="72" t="s">
        <v>290</v>
      </c>
      <c r="P7" s="73" t="s">
        <v>291</v>
      </c>
      <c r="Q7" s="73" t="s">
        <v>292</v>
      </c>
      <c r="R7" s="57" t="s">
        <v>400</v>
      </c>
      <c r="S7" s="75" t="s">
        <v>402</v>
      </c>
      <c r="T7" s="75" t="s">
        <v>402</v>
      </c>
      <c r="X7" s="68" t="s">
        <v>413</v>
      </c>
    </row>
    <row r="8" spans="1:24" ht="23.4" customHeight="1" x14ac:dyDescent="0.3">
      <c r="A8" s="57">
        <v>7</v>
      </c>
      <c r="B8" s="68" t="s">
        <v>302</v>
      </c>
      <c r="C8" s="68" t="s">
        <v>303</v>
      </c>
      <c r="D8" s="57" t="s">
        <v>296</v>
      </c>
      <c r="E8" s="69" t="s">
        <v>41</v>
      </c>
      <c r="F8" s="70" t="s">
        <v>262</v>
      </c>
      <c r="G8" s="68" t="s">
        <v>262</v>
      </c>
      <c r="H8" s="68" t="s">
        <v>262</v>
      </c>
      <c r="I8" s="68" t="s">
        <v>416</v>
      </c>
      <c r="J8" s="68"/>
      <c r="K8" s="68" t="s">
        <v>417</v>
      </c>
      <c r="L8" s="68"/>
      <c r="M8" s="79" t="s">
        <v>145</v>
      </c>
      <c r="N8" s="57" t="s">
        <v>18</v>
      </c>
      <c r="O8" s="72" t="s">
        <v>297</v>
      </c>
      <c r="P8" s="73" t="s">
        <v>298</v>
      </c>
      <c r="Q8" s="73" t="s">
        <v>299</v>
      </c>
      <c r="R8" s="57" t="s">
        <v>406</v>
      </c>
      <c r="S8" s="75" t="s">
        <v>402</v>
      </c>
      <c r="T8" s="75" t="s">
        <v>402</v>
      </c>
      <c r="U8" s="57" t="s">
        <v>418</v>
      </c>
      <c r="V8" s="57" t="s">
        <v>419</v>
      </c>
      <c r="W8" s="57" t="s">
        <v>419</v>
      </c>
      <c r="X8" s="68" t="s">
        <v>413</v>
      </c>
    </row>
    <row r="9" spans="1:24" ht="23.4" customHeight="1" x14ac:dyDescent="0.3">
      <c r="A9" s="57">
        <v>8</v>
      </c>
      <c r="B9" s="68" t="s">
        <v>307</v>
      </c>
      <c r="C9" s="68" t="s">
        <v>308</v>
      </c>
      <c r="D9" s="57" t="s">
        <v>296</v>
      </c>
      <c r="E9" s="69" t="s">
        <v>41</v>
      </c>
      <c r="F9" s="70" t="s">
        <v>262</v>
      </c>
      <c r="G9" s="57" t="s">
        <v>262</v>
      </c>
      <c r="H9" s="57" t="s">
        <v>262</v>
      </c>
      <c r="M9" s="79" t="s">
        <v>137</v>
      </c>
      <c r="N9" s="57" t="s">
        <v>18</v>
      </c>
      <c r="O9" s="72" t="s">
        <v>304</v>
      </c>
      <c r="P9" s="73" t="s">
        <v>305</v>
      </c>
      <c r="Q9" s="73" t="s">
        <v>306</v>
      </c>
      <c r="R9" s="57" t="s">
        <v>406</v>
      </c>
      <c r="S9" s="74" t="s">
        <v>420</v>
      </c>
      <c r="T9" s="74" t="s">
        <v>421</v>
      </c>
      <c r="U9" s="57" t="s">
        <v>418</v>
      </c>
      <c r="V9" s="57" t="s">
        <v>422</v>
      </c>
      <c r="W9" s="57" t="s">
        <v>423</v>
      </c>
      <c r="X9" s="68" t="s">
        <v>424</v>
      </c>
    </row>
    <row r="10" spans="1:24" ht="23.4" customHeight="1" x14ac:dyDescent="0.3">
      <c r="A10" s="57">
        <v>9</v>
      </c>
      <c r="B10" s="68" t="s">
        <v>133</v>
      </c>
      <c r="C10" s="68"/>
      <c r="D10" s="57" t="s">
        <v>296</v>
      </c>
      <c r="E10" s="69" t="s">
        <v>41</v>
      </c>
      <c r="F10" s="70">
        <v>1</v>
      </c>
      <c r="G10" s="68" t="s">
        <v>315</v>
      </c>
      <c r="H10" s="68" t="s">
        <v>316</v>
      </c>
      <c r="I10" s="68" t="s">
        <v>16</v>
      </c>
      <c r="J10" s="68"/>
      <c r="K10" s="68"/>
      <c r="L10" s="68"/>
      <c r="M10" s="71" t="s">
        <v>132</v>
      </c>
      <c r="N10" s="57" t="s">
        <v>18</v>
      </c>
      <c r="O10" s="72" t="s">
        <v>309</v>
      </c>
      <c r="P10" s="73" t="s">
        <v>310</v>
      </c>
      <c r="Q10" s="73" t="s">
        <v>311</v>
      </c>
      <c r="R10" s="57" t="s">
        <v>406</v>
      </c>
      <c r="S10" s="74" t="s">
        <v>425</v>
      </c>
      <c r="T10" s="74" t="s">
        <v>425</v>
      </c>
      <c r="U10" s="57" t="s">
        <v>426</v>
      </c>
      <c r="V10" s="57" t="s">
        <v>427</v>
      </c>
      <c r="W10" s="57" t="s">
        <v>427</v>
      </c>
      <c r="X10" s="68" t="s">
        <v>428</v>
      </c>
    </row>
    <row r="11" spans="1:24" ht="23.4" customHeight="1" x14ac:dyDescent="0.3">
      <c r="A11" s="57">
        <v>10</v>
      </c>
      <c r="B11" s="68" t="s">
        <v>317</v>
      </c>
      <c r="C11" s="68" t="s">
        <v>318</v>
      </c>
      <c r="D11" s="57" t="s">
        <v>263</v>
      </c>
      <c r="E11" s="69" t="s">
        <v>264</v>
      </c>
      <c r="F11" s="70">
        <v>1</v>
      </c>
      <c r="G11" s="68" t="s">
        <v>322</v>
      </c>
      <c r="H11" s="68" t="s">
        <v>323</v>
      </c>
      <c r="I11" s="68" t="s">
        <v>16</v>
      </c>
      <c r="J11" s="68"/>
      <c r="K11" s="68"/>
      <c r="L11" s="68"/>
      <c r="M11" s="71" t="s">
        <v>128</v>
      </c>
      <c r="N11" s="57" t="s">
        <v>18</v>
      </c>
      <c r="O11" s="72" t="s">
        <v>312</v>
      </c>
      <c r="P11" s="73" t="s">
        <v>313</v>
      </c>
      <c r="Q11" s="73" t="s">
        <v>314</v>
      </c>
      <c r="R11" s="57" t="s">
        <v>406</v>
      </c>
      <c r="S11" s="74" t="s">
        <v>429</v>
      </c>
      <c r="T11" s="75" t="s">
        <v>402</v>
      </c>
      <c r="U11" s="57" t="s">
        <v>430</v>
      </c>
      <c r="X11" s="68" t="s">
        <v>413</v>
      </c>
    </row>
    <row r="12" spans="1:24" ht="23.4" customHeight="1" x14ac:dyDescent="0.3">
      <c r="A12" s="57">
        <v>11</v>
      </c>
      <c r="B12" s="68" t="s">
        <v>71</v>
      </c>
      <c r="C12" s="68"/>
      <c r="D12" s="57" t="s">
        <v>276</v>
      </c>
      <c r="E12" s="69" t="s">
        <v>72</v>
      </c>
      <c r="F12" s="70" t="s">
        <v>431</v>
      </c>
      <c r="G12" s="68" t="s">
        <v>327</v>
      </c>
      <c r="H12" s="68" t="s">
        <v>328</v>
      </c>
      <c r="I12" s="68" t="s">
        <v>16</v>
      </c>
      <c r="J12" s="68"/>
      <c r="K12" s="68"/>
      <c r="L12" s="68"/>
      <c r="M12" s="79" t="s">
        <v>143</v>
      </c>
      <c r="N12" s="57" t="s">
        <v>18</v>
      </c>
      <c r="O12" s="72" t="s">
        <v>319</v>
      </c>
      <c r="P12" s="73" t="s">
        <v>320</v>
      </c>
      <c r="Q12" s="73" t="s">
        <v>321</v>
      </c>
      <c r="R12" s="57" t="s">
        <v>400</v>
      </c>
      <c r="S12" s="75" t="s">
        <v>402</v>
      </c>
      <c r="T12" s="75" t="s">
        <v>402</v>
      </c>
      <c r="X12" s="68" t="s">
        <v>432</v>
      </c>
    </row>
    <row r="13" spans="1:24" ht="23.4" customHeight="1" x14ac:dyDescent="0.3">
      <c r="A13" s="57">
        <v>12</v>
      </c>
      <c r="B13" s="68" t="s">
        <v>330</v>
      </c>
      <c r="C13" s="68"/>
      <c r="D13" s="57" t="s">
        <v>263</v>
      </c>
      <c r="E13" s="57" t="s">
        <v>62</v>
      </c>
      <c r="F13" s="70" t="s">
        <v>335</v>
      </c>
      <c r="G13" s="68" t="s">
        <v>334</v>
      </c>
      <c r="H13" s="68" t="s">
        <v>294</v>
      </c>
      <c r="I13" s="68" t="s">
        <v>16</v>
      </c>
      <c r="J13" s="68"/>
      <c r="K13" s="68"/>
      <c r="L13" s="68"/>
      <c r="M13" s="71" t="s">
        <v>127</v>
      </c>
      <c r="N13" s="57" t="s">
        <v>18</v>
      </c>
      <c r="O13" s="72" t="s">
        <v>324</v>
      </c>
      <c r="P13" s="73" t="s">
        <v>325</v>
      </c>
      <c r="Q13" s="73" t="s">
        <v>326</v>
      </c>
      <c r="R13" s="57" t="s">
        <v>406</v>
      </c>
      <c r="S13" s="57" t="s">
        <v>433</v>
      </c>
      <c r="T13" s="57" t="s">
        <v>433</v>
      </c>
      <c r="U13" s="77" t="s">
        <v>434</v>
      </c>
      <c r="X13" s="68" t="s">
        <v>413</v>
      </c>
    </row>
    <row r="14" spans="1:24" ht="23.4" customHeight="1" x14ac:dyDescent="0.3">
      <c r="A14" s="57">
        <v>13</v>
      </c>
      <c r="B14" s="78" t="s">
        <v>85</v>
      </c>
      <c r="C14" s="68"/>
      <c r="D14" s="57" t="s">
        <v>296</v>
      </c>
      <c r="E14" s="69" t="s">
        <v>41</v>
      </c>
      <c r="F14" s="70" t="s">
        <v>262</v>
      </c>
      <c r="G14" s="68" t="s">
        <v>262</v>
      </c>
      <c r="H14" s="68" t="s">
        <v>262</v>
      </c>
      <c r="I14" s="68" t="s">
        <v>416</v>
      </c>
      <c r="J14" s="68"/>
      <c r="K14" s="68"/>
      <c r="L14" s="68" t="s">
        <v>435</v>
      </c>
      <c r="M14" s="79" t="s">
        <v>148</v>
      </c>
      <c r="N14" s="57" t="s">
        <v>18</v>
      </c>
      <c r="O14" s="72" t="s">
        <v>331</v>
      </c>
      <c r="P14" s="73" t="s">
        <v>332</v>
      </c>
      <c r="Q14" s="73" t="s">
        <v>333</v>
      </c>
      <c r="R14" s="57" t="s">
        <v>436</v>
      </c>
      <c r="S14" s="75" t="s">
        <v>402</v>
      </c>
      <c r="T14" s="75"/>
      <c r="U14" s="77" t="s">
        <v>437</v>
      </c>
      <c r="X14" s="68" t="s">
        <v>413</v>
      </c>
    </row>
    <row r="15" spans="1:24" ht="23.4" customHeight="1" x14ac:dyDescent="0.3">
      <c r="A15" s="57">
        <v>14</v>
      </c>
      <c r="B15" s="68" t="s">
        <v>339</v>
      </c>
      <c r="C15" s="68"/>
      <c r="D15" s="57" t="s">
        <v>263</v>
      </c>
      <c r="E15" s="69" t="s">
        <v>32</v>
      </c>
      <c r="F15" s="70" t="s">
        <v>438</v>
      </c>
      <c r="G15" s="68" t="s">
        <v>342</v>
      </c>
      <c r="H15" s="68" t="s">
        <v>294</v>
      </c>
      <c r="I15" s="68" t="s">
        <v>16</v>
      </c>
      <c r="J15" s="68"/>
      <c r="K15" s="68"/>
      <c r="L15" s="68"/>
      <c r="M15" s="76" t="s">
        <v>110</v>
      </c>
      <c r="N15" s="57" t="s">
        <v>18</v>
      </c>
      <c r="O15" s="72" t="s">
        <v>336</v>
      </c>
      <c r="P15" s="73" t="s">
        <v>337</v>
      </c>
      <c r="Q15" s="73" t="s">
        <v>338</v>
      </c>
      <c r="R15" s="57" t="s">
        <v>400</v>
      </c>
      <c r="S15" s="57" t="s">
        <v>436</v>
      </c>
      <c r="T15" s="57" t="s">
        <v>436</v>
      </c>
      <c r="X15" s="68" t="s">
        <v>413</v>
      </c>
    </row>
    <row r="16" spans="1:24" ht="23.4" customHeight="1" x14ac:dyDescent="0.3">
      <c r="A16" s="57">
        <v>15</v>
      </c>
      <c r="B16" s="68" t="s">
        <v>44</v>
      </c>
      <c r="C16" s="68"/>
      <c r="D16" s="57" t="s">
        <v>344</v>
      </c>
      <c r="E16" s="80" t="s">
        <v>46</v>
      </c>
      <c r="F16" s="70">
        <v>1</v>
      </c>
      <c r="G16" s="68" t="s">
        <v>341</v>
      </c>
      <c r="H16" s="68" t="s">
        <v>262</v>
      </c>
      <c r="I16" s="68" t="s">
        <v>16</v>
      </c>
      <c r="J16" s="68"/>
      <c r="K16" s="68"/>
      <c r="L16" s="68"/>
      <c r="M16" s="76" t="s">
        <v>117</v>
      </c>
      <c r="N16" s="57" t="s">
        <v>18</v>
      </c>
      <c r="O16" s="72" t="s">
        <v>340</v>
      </c>
      <c r="P16" s="73" t="s">
        <v>341</v>
      </c>
      <c r="Q16" s="73" t="s">
        <v>341</v>
      </c>
      <c r="R16" s="57" t="s">
        <v>400</v>
      </c>
      <c r="S16" s="57" t="s">
        <v>439</v>
      </c>
      <c r="T16" s="57" t="s">
        <v>440</v>
      </c>
      <c r="V16" s="57" t="s">
        <v>441</v>
      </c>
      <c r="W16" s="57" t="s">
        <v>441</v>
      </c>
      <c r="X16" s="68" t="s">
        <v>413</v>
      </c>
    </row>
    <row r="17" spans="1:24" ht="23.4" customHeight="1" x14ac:dyDescent="0.3">
      <c r="A17" s="57">
        <v>16</v>
      </c>
      <c r="B17" s="78" t="s">
        <v>88</v>
      </c>
      <c r="C17" s="68"/>
      <c r="D17" s="57" t="s">
        <v>296</v>
      </c>
      <c r="E17" s="69" t="s">
        <v>41</v>
      </c>
      <c r="F17" s="70" t="s">
        <v>262</v>
      </c>
      <c r="G17" s="68" t="s">
        <v>262</v>
      </c>
      <c r="H17" s="68" t="s">
        <v>262</v>
      </c>
      <c r="I17" s="68" t="s">
        <v>416</v>
      </c>
      <c r="J17" s="68"/>
      <c r="K17" s="68" t="s">
        <v>442</v>
      </c>
      <c r="L17" s="68" t="s">
        <v>443</v>
      </c>
      <c r="M17" s="79" t="s">
        <v>141</v>
      </c>
      <c r="N17" s="57" t="s">
        <v>18</v>
      </c>
      <c r="O17" s="72" t="s">
        <v>345</v>
      </c>
      <c r="P17" s="73" t="s">
        <v>346</v>
      </c>
      <c r="Q17" s="73" t="s">
        <v>347</v>
      </c>
      <c r="R17" s="57" t="s">
        <v>400</v>
      </c>
      <c r="S17" s="57" t="s">
        <v>444</v>
      </c>
      <c r="T17" s="57" t="s">
        <v>444</v>
      </c>
      <c r="X17" s="68" t="s">
        <v>413</v>
      </c>
    </row>
    <row r="18" spans="1:24" ht="23.4" customHeight="1" x14ac:dyDescent="0.3">
      <c r="A18" s="57">
        <v>17</v>
      </c>
      <c r="B18" s="68" t="s">
        <v>73</v>
      </c>
      <c r="C18" s="68"/>
      <c r="D18" s="57" t="s">
        <v>276</v>
      </c>
      <c r="E18" s="69" t="s">
        <v>74</v>
      </c>
      <c r="F18" s="70">
        <v>1</v>
      </c>
      <c r="G18" s="68" t="s">
        <v>354</v>
      </c>
      <c r="H18" s="68" t="s">
        <v>294</v>
      </c>
      <c r="I18" s="68" t="s">
        <v>16</v>
      </c>
      <c r="J18" s="68"/>
      <c r="K18" s="68"/>
      <c r="L18" s="68"/>
      <c r="M18" s="79" t="s">
        <v>142</v>
      </c>
      <c r="N18" s="57" t="s">
        <v>18</v>
      </c>
      <c r="O18" s="72" t="s">
        <v>348</v>
      </c>
      <c r="P18" s="73" t="s">
        <v>349</v>
      </c>
      <c r="Q18" s="81" t="s">
        <v>350</v>
      </c>
      <c r="R18" s="57" t="s">
        <v>400</v>
      </c>
      <c r="S18" s="57" t="s">
        <v>445</v>
      </c>
      <c r="T18" s="57" t="s">
        <v>445</v>
      </c>
      <c r="X18" s="68" t="s">
        <v>413</v>
      </c>
    </row>
    <row r="19" spans="1:24" ht="23.4" customHeight="1" x14ac:dyDescent="0.3">
      <c r="A19" s="57">
        <v>18</v>
      </c>
      <c r="B19" s="68" t="s">
        <v>77</v>
      </c>
      <c r="C19" s="68"/>
      <c r="D19" s="57" t="s">
        <v>296</v>
      </c>
      <c r="E19" s="69" t="s">
        <v>78</v>
      </c>
      <c r="F19" s="70">
        <v>1</v>
      </c>
      <c r="G19" s="68" t="s">
        <v>358</v>
      </c>
      <c r="H19" s="68" t="s">
        <v>294</v>
      </c>
      <c r="I19" s="68" t="s">
        <v>16</v>
      </c>
      <c r="J19" s="68"/>
      <c r="K19" s="68"/>
      <c r="L19" s="68"/>
      <c r="M19" s="79" t="s">
        <v>144</v>
      </c>
      <c r="N19" s="57" t="s">
        <v>18</v>
      </c>
      <c r="O19" s="72" t="s">
        <v>351</v>
      </c>
      <c r="P19" s="73" t="s">
        <v>352</v>
      </c>
      <c r="Q19" s="73" t="s">
        <v>353</v>
      </c>
      <c r="R19" s="57" t="s">
        <v>400</v>
      </c>
      <c r="S19" s="57" t="s">
        <v>445</v>
      </c>
      <c r="T19" s="57" t="s">
        <v>445</v>
      </c>
      <c r="U19" s="57" t="s">
        <v>446</v>
      </c>
      <c r="X19" s="68" t="s">
        <v>405</v>
      </c>
    </row>
    <row r="20" spans="1:24" ht="23.4" customHeight="1" x14ac:dyDescent="0.3">
      <c r="A20" s="57">
        <v>19</v>
      </c>
      <c r="B20" s="68" t="s">
        <v>33</v>
      </c>
      <c r="C20" s="68"/>
      <c r="D20" s="57" t="s">
        <v>263</v>
      </c>
      <c r="E20" s="69" t="s">
        <v>34</v>
      </c>
      <c r="F20" s="70" t="s">
        <v>363</v>
      </c>
      <c r="G20" s="68" t="s">
        <v>362</v>
      </c>
      <c r="H20" s="68" t="s">
        <v>294</v>
      </c>
      <c r="I20" s="68" t="s">
        <v>16</v>
      </c>
      <c r="J20" s="68"/>
      <c r="K20" s="68"/>
      <c r="L20" s="68"/>
      <c r="M20" s="76" t="s">
        <v>113</v>
      </c>
      <c r="N20" s="57" t="s">
        <v>18</v>
      </c>
      <c r="O20" s="72" t="s">
        <v>355</v>
      </c>
      <c r="P20" s="73" t="s">
        <v>356</v>
      </c>
      <c r="Q20" s="73" t="s">
        <v>357</v>
      </c>
      <c r="R20" s="57" t="s">
        <v>447</v>
      </c>
      <c r="S20" s="57" t="s">
        <v>447</v>
      </c>
      <c r="T20" s="57" t="s">
        <v>447</v>
      </c>
      <c r="U20" s="77" t="s">
        <v>448</v>
      </c>
      <c r="X20" s="68" t="s">
        <v>413</v>
      </c>
    </row>
    <row r="21" spans="1:24" ht="23.4" customHeight="1" x14ac:dyDescent="0.3">
      <c r="A21" s="57">
        <v>20</v>
      </c>
      <c r="B21" s="68" t="s">
        <v>17</v>
      </c>
      <c r="C21" s="68"/>
      <c r="D21" s="57" t="s">
        <v>276</v>
      </c>
      <c r="E21" s="69" t="s">
        <v>20</v>
      </c>
      <c r="F21" s="70">
        <v>1</v>
      </c>
      <c r="G21" s="68" t="s">
        <v>366</v>
      </c>
      <c r="H21" s="68" t="s">
        <v>367</v>
      </c>
      <c r="I21" s="68" t="s">
        <v>16</v>
      </c>
      <c r="J21" s="68"/>
      <c r="K21" s="68"/>
      <c r="L21" s="68"/>
      <c r="M21" s="76" t="s">
        <v>114</v>
      </c>
      <c r="N21" s="57" t="s">
        <v>18</v>
      </c>
      <c r="O21" s="72" t="s">
        <v>359</v>
      </c>
      <c r="P21" s="73" t="s">
        <v>360</v>
      </c>
      <c r="Q21" s="73" t="s">
        <v>361</v>
      </c>
      <c r="R21" s="57" t="s">
        <v>400</v>
      </c>
      <c r="S21" s="57" t="s">
        <v>436</v>
      </c>
      <c r="T21" s="57" t="s">
        <v>436</v>
      </c>
      <c r="U21" s="57" t="s">
        <v>449</v>
      </c>
      <c r="X21" s="68" t="s">
        <v>413</v>
      </c>
    </row>
    <row r="22" spans="1:24" ht="23.4" customHeight="1" x14ac:dyDescent="0.3">
      <c r="A22" s="57">
        <v>21</v>
      </c>
      <c r="B22" s="68" t="s">
        <v>368</v>
      </c>
      <c r="C22" s="68"/>
      <c r="D22" s="57" t="s">
        <v>263</v>
      </c>
      <c r="E22" s="69" t="s">
        <v>37</v>
      </c>
      <c r="F22" s="70">
        <v>1</v>
      </c>
      <c r="G22" s="68" t="s">
        <v>372</v>
      </c>
      <c r="H22" s="68" t="s">
        <v>294</v>
      </c>
      <c r="I22" s="68" t="s">
        <v>16</v>
      </c>
      <c r="J22" s="68"/>
      <c r="K22" s="68"/>
      <c r="L22" s="68"/>
      <c r="M22" s="76" t="s">
        <v>112</v>
      </c>
      <c r="N22" s="57" t="s">
        <v>18</v>
      </c>
      <c r="O22" s="72" t="s">
        <v>364</v>
      </c>
      <c r="P22" s="73" t="s">
        <v>365</v>
      </c>
      <c r="Q22" s="73" t="s">
        <v>365</v>
      </c>
      <c r="R22" s="57" t="s">
        <v>400</v>
      </c>
      <c r="S22" s="57" t="s">
        <v>450</v>
      </c>
      <c r="T22" s="57" t="s">
        <v>450</v>
      </c>
      <c r="V22" s="57" t="s">
        <v>441</v>
      </c>
      <c r="W22" s="57" t="s">
        <v>441</v>
      </c>
      <c r="X22" s="68" t="s">
        <v>413</v>
      </c>
    </row>
    <row r="23" spans="1:24" ht="23.4" customHeight="1" x14ac:dyDescent="0.3">
      <c r="A23" s="57">
        <v>22</v>
      </c>
      <c r="B23" s="78" t="s">
        <v>66</v>
      </c>
      <c r="C23" s="68"/>
      <c r="D23" s="57" t="s">
        <v>296</v>
      </c>
      <c r="E23" s="69" t="s">
        <v>41</v>
      </c>
      <c r="F23" s="70" t="s">
        <v>262</v>
      </c>
      <c r="G23" s="68" t="s">
        <v>262</v>
      </c>
      <c r="H23" s="68" t="s">
        <v>262</v>
      </c>
      <c r="I23" s="68" t="s">
        <v>416</v>
      </c>
      <c r="J23" s="68"/>
      <c r="K23" s="68" t="s">
        <v>451</v>
      </c>
      <c r="L23" s="68" t="s">
        <v>452</v>
      </c>
      <c r="M23" s="71" t="s">
        <v>134</v>
      </c>
      <c r="N23" s="57" t="s">
        <v>18</v>
      </c>
      <c r="O23" s="72" t="s">
        <v>369</v>
      </c>
      <c r="P23" s="73" t="s">
        <v>370</v>
      </c>
      <c r="Q23" s="73" t="s">
        <v>371</v>
      </c>
      <c r="R23" s="57" t="s">
        <v>400</v>
      </c>
      <c r="S23" s="57" t="s">
        <v>445</v>
      </c>
      <c r="T23" s="57" t="s">
        <v>445</v>
      </c>
      <c r="X23" s="68" t="s">
        <v>453</v>
      </c>
    </row>
    <row r="24" spans="1:24" ht="23.4" customHeight="1" x14ac:dyDescent="0.3">
      <c r="A24" s="57">
        <v>23</v>
      </c>
      <c r="B24" s="68" t="s">
        <v>84</v>
      </c>
      <c r="C24" s="68"/>
      <c r="D24" s="57" t="s">
        <v>296</v>
      </c>
      <c r="E24" s="69" t="s">
        <v>41</v>
      </c>
      <c r="F24" s="70">
        <v>1</v>
      </c>
      <c r="G24" s="68" t="s">
        <v>379</v>
      </c>
      <c r="H24" s="68" t="s">
        <v>380</v>
      </c>
      <c r="I24" s="68" t="s">
        <v>16</v>
      </c>
      <c r="J24" s="68"/>
      <c r="K24" s="68"/>
      <c r="L24" s="68"/>
      <c r="M24" s="79" t="s">
        <v>147</v>
      </c>
      <c r="N24" s="57" t="s">
        <v>18</v>
      </c>
      <c r="O24" s="72" t="s">
        <v>373</v>
      </c>
      <c r="P24" s="73" t="s">
        <v>374</v>
      </c>
      <c r="Q24" s="73" t="s">
        <v>375</v>
      </c>
      <c r="R24" s="57" t="s">
        <v>400</v>
      </c>
      <c r="S24" s="57" t="s">
        <v>445</v>
      </c>
      <c r="T24" s="57" t="s">
        <v>445</v>
      </c>
      <c r="X24" s="68" t="s">
        <v>413</v>
      </c>
    </row>
    <row r="25" spans="1:24" ht="23.4" customHeight="1" x14ac:dyDescent="0.3">
      <c r="A25" s="57">
        <v>24</v>
      </c>
      <c r="B25" s="68" t="s">
        <v>67</v>
      </c>
      <c r="C25" s="68"/>
      <c r="D25" s="57" t="s">
        <v>296</v>
      </c>
      <c r="E25" s="69" t="s">
        <v>68</v>
      </c>
      <c r="F25" s="70" t="s">
        <v>385</v>
      </c>
      <c r="G25" s="68" t="s">
        <v>384</v>
      </c>
      <c r="H25" s="68" t="s">
        <v>294</v>
      </c>
      <c r="I25" s="68" t="s">
        <v>16</v>
      </c>
      <c r="J25" s="68"/>
      <c r="K25" s="68"/>
      <c r="L25" s="68"/>
      <c r="M25" s="71" t="s">
        <v>135</v>
      </c>
      <c r="N25" s="57" t="s">
        <v>18</v>
      </c>
      <c r="O25" s="72" t="s">
        <v>376</v>
      </c>
      <c r="P25" s="73" t="s">
        <v>377</v>
      </c>
      <c r="Q25" s="73" t="s">
        <v>378</v>
      </c>
      <c r="R25" s="57" t="s">
        <v>400</v>
      </c>
      <c r="S25" s="57" t="s">
        <v>454</v>
      </c>
      <c r="T25" s="57" t="s">
        <v>454</v>
      </c>
      <c r="U25" s="77" t="s">
        <v>455</v>
      </c>
      <c r="X25" s="68" t="s">
        <v>413</v>
      </c>
    </row>
    <row r="26" spans="1:24" ht="23.4" customHeight="1" x14ac:dyDescent="0.3">
      <c r="A26" s="82">
        <v>25</v>
      </c>
      <c r="B26" s="83" t="s">
        <v>82</v>
      </c>
      <c r="C26" s="68"/>
      <c r="F26" s="70"/>
      <c r="G26" s="68"/>
      <c r="H26" s="68"/>
      <c r="I26" s="68"/>
      <c r="J26" s="68"/>
      <c r="K26" s="68"/>
      <c r="L26" s="68"/>
      <c r="M26" s="79" t="s">
        <v>140</v>
      </c>
      <c r="N26" s="57" t="s">
        <v>83</v>
      </c>
      <c r="O26" s="72" t="s">
        <v>381</v>
      </c>
      <c r="P26" s="73" t="s">
        <v>382</v>
      </c>
      <c r="Q26" s="73" t="s">
        <v>383</v>
      </c>
      <c r="R26" s="73" t="s">
        <v>456</v>
      </c>
      <c r="S26" s="57" t="s">
        <v>457</v>
      </c>
      <c r="T26" s="57" t="s">
        <v>457</v>
      </c>
      <c r="U26" s="57" t="s">
        <v>458</v>
      </c>
      <c r="X26" s="68" t="s">
        <v>413</v>
      </c>
    </row>
    <row r="27" spans="1:24" ht="23.4" customHeight="1" x14ac:dyDescent="0.3">
      <c r="A27" s="82">
        <v>26</v>
      </c>
      <c r="B27" s="83" t="s">
        <v>69</v>
      </c>
      <c r="C27" s="68"/>
      <c r="F27" s="68"/>
      <c r="G27" s="68"/>
      <c r="H27" s="68"/>
      <c r="I27" s="68"/>
      <c r="J27" s="68"/>
      <c r="K27" s="68"/>
      <c r="L27" s="68"/>
      <c r="M27" s="71" t="s">
        <v>123</v>
      </c>
      <c r="N27" s="57" t="s">
        <v>48</v>
      </c>
      <c r="O27" s="72" t="s">
        <v>459</v>
      </c>
      <c r="P27" s="73" t="s">
        <v>460</v>
      </c>
      <c r="Q27" s="73" t="s">
        <v>460</v>
      </c>
      <c r="R27" s="73" t="s">
        <v>461</v>
      </c>
      <c r="S27" s="57" t="s">
        <v>462</v>
      </c>
      <c r="T27" s="57" t="s">
        <v>462</v>
      </c>
      <c r="V27" s="57" t="s">
        <v>441</v>
      </c>
      <c r="W27" s="57" t="s">
        <v>441</v>
      </c>
      <c r="X27" s="68" t="s">
        <v>463</v>
      </c>
    </row>
    <row r="28" spans="1:24" ht="23.4" customHeight="1" x14ac:dyDescent="0.3">
      <c r="A28" s="82">
        <v>27</v>
      </c>
      <c r="B28" s="83" t="s">
        <v>47</v>
      </c>
      <c r="C28" s="68"/>
      <c r="F28" s="68"/>
      <c r="G28" s="68"/>
      <c r="H28" s="68"/>
      <c r="I28" s="68"/>
      <c r="J28" s="68"/>
      <c r="K28" s="68"/>
      <c r="L28" s="68"/>
      <c r="M28" s="76" t="s">
        <v>106</v>
      </c>
      <c r="N28" s="57" t="s">
        <v>48</v>
      </c>
      <c r="O28" s="72" t="s">
        <v>464</v>
      </c>
      <c r="P28" s="73" t="s">
        <v>465</v>
      </c>
      <c r="Q28" s="73" t="s">
        <v>466</v>
      </c>
      <c r="R28" s="73" t="s">
        <v>467</v>
      </c>
      <c r="S28" s="57" t="s">
        <v>462</v>
      </c>
      <c r="T28" s="57" t="s">
        <v>462</v>
      </c>
      <c r="U28" s="57" t="s">
        <v>468</v>
      </c>
      <c r="X28" s="68" t="s">
        <v>463</v>
      </c>
    </row>
    <row r="29" spans="1:24" ht="23.4" customHeight="1" x14ac:dyDescent="0.3">
      <c r="A29" s="82">
        <v>28</v>
      </c>
      <c r="B29" s="83" t="s">
        <v>469</v>
      </c>
      <c r="C29" s="68"/>
      <c r="F29" s="68"/>
      <c r="G29" s="68"/>
      <c r="H29" s="68"/>
      <c r="I29" s="68"/>
      <c r="J29" s="68"/>
      <c r="K29" s="68"/>
      <c r="L29" s="68"/>
      <c r="M29" s="71" t="s">
        <v>125</v>
      </c>
      <c r="N29" s="57" t="s">
        <v>50</v>
      </c>
      <c r="O29" s="72" t="s">
        <v>470</v>
      </c>
      <c r="P29" s="73" t="s">
        <v>471</v>
      </c>
      <c r="Q29" s="73" t="s">
        <v>471</v>
      </c>
      <c r="R29" s="73" t="s">
        <v>472</v>
      </c>
      <c r="S29" s="57" t="s">
        <v>462</v>
      </c>
      <c r="T29" s="57" t="s">
        <v>462</v>
      </c>
      <c r="X29" s="68" t="s">
        <v>473</v>
      </c>
    </row>
    <row r="30" spans="1:24" ht="23.4" customHeight="1" x14ac:dyDescent="0.3">
      <c r="A30" s="82">
        <v>29</v>
      </c>
      <c r="B30" s="83" t="s">
        <v>49</v>
      </c>
      <c r="C30" s="68"/>
      <c r="F30" s="68"/>
      <c r="G30" s="68"/>
      <c r="H30" s="68"/>
      <c r="I30" s="68"/>
      <c r="J30" s="68"/>
      <c r="K30" s="68"/>
      <c r="L30" s="68"/>
      <c r="M30" s="76" t="s">
        <v>108</v>
      </c>
      <c r="N30" s="57" t="s">
        <v>50</v>
      </c>
      <c r="O30" s="73" t="s">
        <v>474</v>
      </c>
      <c r="P30" s="73" t="s">
        <v>475</v>
      </c>
      <c r="Q30" s="73" t="s">
        <v>475</v>
      </c>
      <c r="R30" s="57" t="s">
        <v>436</v>
      </c>
      <c r="U30" s="57" t="s">
        <v>476</v>
      </c>
      <c r="X30" s="68" t="s">
        <v>463</v>
      </c>
    </row>
    <row r="31" spans="1:24" ht="23.4" customHeight="1" x14ac:dyDescent="0.3">
      <c r="A31" s="82">
        <v>30</v>
      </c>
      <c r="B31" s="83" t="s">
        <v>81</v>
      </c>
      <c r="C31" s="68"/>
      <c r="F31" s="68"/>
      <c r="G31" s="68"/>
      <c r="H31" s="68"/>
      <c r="I31" s="68"/>
      <c r="J31" s="68"/>
      <c r="K31" s="68"/>
      <c r="L31" s="68"/>
      <c r="M31" s="79" t="s">
        <v>139</v>
      </c>
      <c r="N31" s="57" t="s">
        <v>80</v>
      </c>
      <c r="O31" s="72" t="s">
        <v>477</v>
      </c>
      <c r="P31" s="73" t="s">
        <v>478</v>
      </c>
      <c r="Q31" s="73" t="s">
        <v>479</v>
      </c>
      <c r="R31" s="73" t="s">
        <v>480</v>
      </c>
      <c r="S31" s="57" t="s">
        <v>457</v>
      </c>
      <c r="T31" s="57" t="s">
        <v>457</v>
      </c>
      <c r="V31" s="77" t="s">
        <v>481</v>
      </c>
      <c r="X31" s="68" t="s">
        <v>482</v>
      </c>
    </row>
    <row r="32" spans="1:24" ht="23.4" customHeight="1" x14ac:dyDescent="0.3">
      <c r="A32" s="82">
        <v>31</v>
      </c>
      <c r="B32" s="83" t="s">
        <v>79</v>
      </c>
      <c r="C32" s="68"/>
      <c r="F32" s="68"/>
      <c r="G32" s="68"/>
      <c r="H32" s="68"/>
      <c r="I32" s="68"/>
      <c r="J32" s="68"/>
      <c r="K32" s="68"/>
      <c r="L32" s="68"/>
      <c r="M32" s="79" t="s">
        <v>138</v>
      </c>
      <c r="N32" s="57" t="s">
        <v>80</v>
      </c>
      <c r="O32" s="72" t="s">
        <v>483</v>
      </c>
      <c r="P32" s="73" t="s">
        <v>484</v>
      </c>
      <c r="Q32" s="73" t="s">
        <v>485</v>
      </c>
      <c r="R32" s="73" t="s">
        <v>486</v>
      </c>
      <c r="S32" s="57" t="s">
        <v>457</v>
      </c>
      <c r="T32" s="57" t="s">
        <v>457</v>
      </c>
      <c r="U32" s="57" t="s">
        <v>487</v>
      </c>
      <c r="X32" s="68" t="s">
        <v>488</v>
      </c>
    </row>
    <row r="33" spans="1:24" ht="21" customHeight="1" x14ac:dyDescent="0.3">
      <c r="A33" s="57" t="s">
        <v>489</v>
      </c>
      <c r="B33" s="57" t="s">
        <v>255</v>
      </c>
      <c r="D33" s="57" t="s">
        <v>256</v>
      </c>
      <c r="E33" s="57" t="s">
        <v>256</v>
      </c>
      <c r="F33" s="57">
        <v>1</v>
      </c>
      <c r="G33" s="80" t="s">
        <v>260</v>
      </c>
      <c r="H33" s="84" t="s">
        <v>261</v>
      </c>
      <c r="I33" s="84"/>
      <c r="J33" s="84"/>
      <c r="K33" s="84"/>
      <c r="L33" s="84"/>
      <c r="M33" s="56" t="s">
        <v>262</v>
      </c>
      <c r="N33" s="57" t="s">
        <v>18</v>
      </c>
      <c r="O33" s="73" t="s">
        <v>490</v>
      </c>
      <c r="P33" s="73" t="s">
        <v>491</v>
      </c>
      <c r="Q33" s="73" t="s">
        <v>491</v>
      </c>
      <c r="R33" s="57" t="s">
        <v>400</v>
      </c>
      <c r="S33" s="57" t="s">
        <v>59</v>
      </c>
      <c r="T33" s="73" t="s">
        <v>59</v>
      </c>
      <c r="X33" s="68" t="s">
        <v>488</v>
      </c>
    </row>
  </sheetData>
  <autoFilter ref="A1:N32" xr:uid="{916C46A1-E742-4952-AED0-270A04A90DC0}">
    <sortState xmlns:xlrd2="http://schemas.microsoft.com/office/spreadsheetml/2017/richdata2" ref="A2:N33">
      <sortCondition ref="A1:A32"/>
    </sortState>
  </autoFilter>
  <hyperlinks>
    <hyperlink ref="O3" r:id="rId1" xr:uid="{D24C6C03-2A4A-4FBC-8974-53D244F01E68}"/>
    <hyperlink ref="O2" r:id="rId2" xr:uid="{9F0DC611-F1EF-4A64-8476-970C38C2081A}"/>
    <hyperlink ref="O4" r:id="rId3" xr:uid="{016D5C0E-91CA-466D-BE31-3197181DF89B}"/>
    <hyperlink ref="O5" r:id="rId4" xr:uid="{E36C7583-337B-4654-96DF-DF4CD00A2077}"/>
    <hyperlink ref="O6" r:id="rId5" xr:uid="{A05A3B23-8BCE-4AC4-A0FA-B0430345AEDC}"/>
    <hyperlink ref="O7" r:id="rId6" xr:uid="{E45C56E5-CF16-4048-98B6-CA252F6AE8CD}"/>
    <hyperlink ref="O8" r:id="rId7" xr:uid="{AF386858-449A-4079-A6AC-A1DB56D44785}"/>
    <hyperlink ref="O9" r:id="rId8" xr:uid="{E38B3A31-0EB8-435B-A424-FFF918230DD6}"/>
    <hyperlink ref="O10" r:id="rId9" xr:uid="{84288EBE-6203-4ED5-84FF-4EB431BE6604}"/>
    <hyperlink ref="O11" r:id="rId10" xr:uid="{5025DF63-DCF3-49C2-9871-E5EE767A1AA7}"/>
    <hyperlink ref="O12" r:id="rId11" xr:uid="{E9D79799-A91E-43C8-A6DB-E6E8E7F4DE65}"/>
    <hyperlink ref="O15" r:id="rId12" xr:uid="{F2A391D9-1489-4154-A66A-617E413994DE}"/>
    <hyperlink ref="O16" r:id="rId13" xr:uid="{B564A068-D64F-4D3B-AC54-DE4F764A4EF5}"/>
    <hyperlink ref="O17" r:id="rId14" xr:uid="{134B2E40-10A3-4BF7-892F-E617692EDB4E}"/>
    <hyperlink ref="O18" r:id="rId15" xr:uid="{0F7902B5-4EC3-444C-A991-A7A4F7BF6773}"/>
    <hyperlink ref="O19" r:id="rId16" xr:uid="{F23A3281-6B19-4FE7-B618-680A90371546}"/>
    <hyperlink ref="O21" r:id="rId17" xr:uid="{9A537F23-29D5-4916-A310-9B666F183571}"/>
    <hyperlink ref="O22" r:id="rId18" xr:uid="{4309AC53-0537-4967-8495-164BE0821BCC}"/>
    <hyperlink ref="O23" r:id="rId19" xr:uid="{20246634-5F27-4E76-9E22-62A9FDD73823}"/>
    <hyperlink ref="O24" r:id="rId20" xr:uid="{A47718B3-737C-4EEF-AEDB-6E7E9CBFEAD3}"/>
    <hyperlink ref="O25" r:id="rId21" xr:uid="{9E6A5700-E1F7-4823-8161-6758C27BF109}"/>
    <hyperlink ref="O26" r:id="rId22" xr:uid="{683ECCCB-A51F-454B-AC0B-44E0B513ECDA}"/>
    <hyperlink ref="R26" r:id="rId23" xr:uid="{8B06D2F3-22FC-4122-B770-DACEC7B4A75D}"/>
    <hyperlink ref="O27" r:id="rId24" xr:uid="{1371AAAA-FA0E-4592-A5C2-1B76FE841390}"/>
    <hyperlink ref="R27" r:id="rId25" xr:uid="{045FC367-2763-45F9-AF13-8EDD534866E8}"/>
    <hyperlink ref="O28" r:id="rId26" xr:uid="{B1540960-3794-4203-A395-9A119B8244AF}"/>
    <hyperlink ref="O29" r:id="rId27" xr:uid="{1C0FD652-C37D-4A45-8B87-03E5DAAB6EA4}"/>
    <hyperlink ref="R29" r:id="rId28" location="metadata_info_tab_contents" xr:uid="{35FB27E0-1A1B-4DB8-961B-F9C16179CDB7}"/>
    <hyperlink ref="O30" r:id="rId29" xr:uid="{0C16A418-D33E-4144-9B7D-0EB4C8DBB687}"/>
    <hyperlink ref="O31" r:id="rId30" xr:uid="{22E1A9E0-38A8-4E1C-819D-891A46087907}"/>
    <hyperlink ref="R31" r:id="rId31" xr:uid="{BC7F2B82-F0B0-4A8F-A0FB-744768735926}"/>
    <hyperlink ref="O32" r:id="rId32" xr:uid="{CAED53AC-FE83-484C-9DF7-977A3B93C1B1}"/>
    <hyperlink ref="R28" r:id="rId33" xr:uid="{CEFF6032-97D2-466D-A49E-1C3011BC5E68}"/>
    <hyperlink ref="R32" r:id="rId34" xr:uid="{99A440DC-BEFB-4D1D-8F89-0927E9BB2F67}"/>
    <hyperlink ref="Q4" r:id="rId35" xr:uid="{D7594C4B-4CBC-4682-8051-A59E0878D6C6}"/>
    <hyperlink ref="P3" r:id="rId36" xr:uid="{24EE1B6F-1066-43A5-A2A4-E2B0DFA4C9C5}"/>
    <hyperlink ref="Q3" r:id="rId37" xr:uid="{14A7E5D0-968C-4DEF-8D09-DA2BCCFAFC14}"/>
    <hyperlink ref="P2" r:id="rId38" xr:uid="{F1F9AFA0-053E-44BD-BF89-427CEB3453B9}"/>
    <hyperlink ref="Q2" r:id="rId39" xr:uid="{5BCB96DE-7254-471E-AB85-92F7241D42F5}"/>
    <hyperlink ref="P5" r:id="rId40" xr:uid="{641F1A60-A6F1-4C66-AF7C-4AC800901A2C}"/>
    <hyperlink ref="Q5" r:id="rId41" xr:uid="{70AFA92D-3609-47D3-B223-A9FAAC1887AC}"/>
    <hyperlink ref="P4" r:id="rId42" xr:uid="{4A1D2351-9497-4AE8-9A0F-7579B514DE5E}"/>
    <hyperlink ref="P6" r:id="rId43" xr:uid="{C9CC9134-7865-4902-8683-F25A14A034DF}"/>
    <hyperlink ref="Q6" r:id="rId44" xr:uid="{ED2DB8E9-E3B1-4CA2-A9DA-8CAB9260336E}"/>
    <hyperlink ref="P7" r:id="rId45" xr:uid="{4B304690-7493-4FF4-A4ED-AA8960512AFB}"/>
    <hyperlink ref="Q7" r:id="rId46" xr:uid="{E55A4387-95B6-4A00-B6C0-30A260D50C30}"/>
    <hyperlink ref="P8" r:id="rId47" xr:uid="{216CDAD7-E2D5-42AB-9EC5-784C5FC1077E}"/>
    <hyperlink ref="Q8" r:id="rId48" xr:uid="{0F271A13-1D62-42A2-9A4B-AD30DEB0CB2A}"/>
    <hyperlink ref="P9" r:id="rId49" xr:uid="{39A9C806-F3C1-434D-A688-9F9DEC5CCAE2}"/>
    <hyperlink ref="Q9" r:id="rId50" xr:uid="{F68255EB-EC84-4430-846E-996C2287FB07}"/>
    <hyperlink ref="Q10" r:id="rId51" xr:uid="{E81CFDCA-9CEF-4DF6-BA81-700142E9EB98}"/>
    <hyperlink ref="P10" r:id="rId52" xr:uid="{5D488D2C-09AE-4624-9AC3-4D421110EC48}"/>
    <hyperlink ref="P11" r:id="rId53" xr:uid="{DE391A6E-1CEB-49C6-BB8F-2028441C74C2}"/>
    <hyperlink ref="Q11" r:id="rId54" xr:uid="{048F17BC-D333-48CC-B385-524700B6796B}"/>
    <hyperlink ref="P26" r:id="rId55" xr:uid="{C20895E9-0458-4667-9FCF-C1EB3076F152}"/>
    <hyperlink ref="Q26" r:id="rId56" xr:uid="{EFB0A38B-BC87-4754-92AC-AA43EEAA8540}"/>
    <hyperlink ref="Q31" r:id="rId57" xr:uid="{2AA2EC91-5B2F-4A3C-B799-167B5FDE13CE}"/>
    <hyperlink ref="Q32" r:id="rId58" xr:uid="{9953EC94-31AC-4030-B563-6360EE67BFCB}"/>
    <hyperlink ref="P32" r:id="rId59" xr:uid="{F4AD7FD0-3982-4211-B8AB-02E51D64410E}"/>
    <hyperlink ref="O33" r:id="rId60" xr:uid="{412C4536-2FF6-4661-94D2-DFC3C46D69EB}"/>
    <hyperlink ref="P33" r:id="rId61" xr:uid="{1FEC5554-115F-4780-A69F-080D38105756}"/>
    <hyperlink ref="T33" r:id="rId62" xr:uid="{76A3069E-079E-4660-A933-827AEDF7177A}"/>
    <hyperlink ref="Q33" r:id="rId63" xr:uid="{4F9646FE-F7A9-451E-B2CF-AD7C60AC019D}"/>
    <hyperlink ref="O14" r:id="rId64" xr:uid="{24FD6F63-E7C7-4B2D-88E2-F3085AB68AAC}"/>
    <hyperlink ref="O20" r:id="rId65" xr:uid="{B12E01AF-0C87-42E1-A3F7-EB0BB76C9A89}"/>
    <hyperlink ref="Q20" r:id="rId66" xr:uid="{48D85F13-FF1D-4E34-9457-6C83CB3D0A13}"/>
    <hyperlink ref="P20" r:id="rId67" xr:uid="{C736E915-35DF-4852-BF1B-24D72BFE43B0}"/>
    <hyperlink ref="O13" r:id="rId68" xr:uid="{0BEE3389-F378-403D-A8B2-6B96BA90D893}"/>
    <hyperlink ref="P13" r:id="rId69" xr:uid="{085B3AE0-AE63-4FDC-A030-EE0246D66D94}"/>
    <hyperlink ref="Q13" r:id="rId70" xr:uid="{691AAAA8-1842-4FC9-9761-6D7D7B21F2F3}"/>
    <hyperlink ref="Q12" r:id="rId71" xr:uid="{EF339B5A-1042-454F-9AC6-3337A503A8F7}"/>
    <hyperlink ref="P12" r:id="rId72" xr:uid="{950F7110-2F97-4D0C-910B-064B1DC27011}"/>
    <hyperlink ref="P14" r:id="rId73" xr:uid="{6A185B02-E61C-48C9-8CED-519F4EC34914}"/>
    <hyperlink ref="P15" r:id="rId74" xr:uid="{914B2E25-2633-4ABE-86E1-AD0CC6BA5DF7}"/>
    <hyperlink ref="Q15" r:id="rId75" xr:uid="{A6110BB4-839A-488F-BEED-34BC81AD4E4E}"/>
    <hyperlink ref="P16" r:id="rId76" xr:uid="{B2215FF1-05D3-4C95-86FB-924CAC59C9C3}"/>
    <hyperlink ref="Q16" r:id="rId77" xr:uid="{8C70A5F9-8A07-40B4-AF4B-7FC2F3AAC3D0}"/>
    <hyperlink ref="P17" r:id="rId78" xr:uid="{E44E8676-AD89-4EA6-914A-404069C5E892}"/>
    <hyperlink ref="Q17" r:id="rId79" xr:uid="{0A6F95BD-449E-4E58-877B-AE016062550A}"/>
    <hyperlink ref="P18" r:id="rId80" xr:uid="{521223C5-AAD6-4F80-AD28-49E525E8790C}"/>
    <hyperlink ref="Q18" r:id="rId81" xr:uid="{F3186F5C-BD88-438E-8107-13178C5583F5}"/>
    <hyperlink ref="P19" r:id="rId82" xr:uid="{1666BE0A-BA32-4FB2-993F-5BF31DCF698F}"/>
    <hyperlink ref="Q19" r:id="rId83" xr:uid="{7141C204-F9E5-4622-9CA7-D2610DB42E2A}"/>
    <hyperlink ref="P21" r:id="rId84" xr:uid="{AD8C211C-1CAE-4E08-A1A1-877C5D09E5E7}"/>
    <hyperlink ref="Q21" r:id="rId85" xr:uid="{347A4C1F-DBC1-4A24-B99D-E7EB4306C900}"/>
    <hyperlink ref="P22" r:id="rId86" xr:uid="{FF0DC0F5-86D1-4600-9035-5CE683F02869}"/>
    <hyperlink ref="Q22" r:id="rId87" xr:uid="{75D0FE28-B6DD-4281-BFD9-FBD1DC3441A4}"/>
    <hyperlink ref="Q23" r:id="rId88" xr:uid="{301B9A92-DBBC-4725-9475-02A4AE30FC2B}"/>
    <hyperlink ref="P23" r:id="rId89" xr:uid="{C4EEC331-7670-4919-8147-EA74B203964A}"/>
    <hyperlink ref="P24" r:id="rId90" xr:uid="{078751CC-87F8-47EA-9D94-4AA7599671E4}"/>
    <hyperlink ref="Q24" r:id="rId91" xr:uid="{FA681860-9730-4388-861D-155D7A731AB5}"/>
    <hyperlink ref="P25" r:id="rId92" xr:uid="{6A0FFEAD-1CC0-47FE-954F-D8F2F43DBDFD}"/>
    <hyperlink ref="Q25" r:id="rId93" xr:uid="{7EAF38B7-5E81-4D45-BA60-D1D70C787151}"/>
    <hyperlink ref="P27" r:id="rId94" xr:uid="{852E5D7B-94DA-417E-A14B-37CEDA1934E1}"/>
    <hyperlink ref="Q27" r:id="rId95" xr:uid="{BAF61634-797F-4DFC-AB5F-4A284BB0950D}"/>
    <hyperlink ref="P28" r:id="rId96" xr:uid="{A6452A5D-288B-429B-9221-D236E7737EDD}"/>
    <hyperlink ref="Q28" r:id="rId97" xr:uid="{A7CB0C7E-0DE4-493A-8DAA-900BF78F9131}"/>
    <hyperlink ref="P29" r:id="rId98" xr:uid="{888DECCA-ED00-48ED-BF4B-2938316F9911}"/>
    <hyperlink ref="Q29" r:id="rId99" xr:uid="{2518AF70-4FB5-4B69-AEE6-5B8E07D1B3E6}"/>
    <hyperlink ref="Q30" r:id="rId100" xr:uid="{961896B4-55A2-487E-A288-84E968922240}"/>
    <hyperlink ref="P30" r:id="rId101" xr:uid="{2EFCE16B-C4F4-404E-8707-409B68F037F0}"/>
    <hyperlink ref="P31" r:id="rId102" xr:uid="{39F4A3FA-4A05-405C-AB18-37E9FEE7735E}"/>
    <hyperlink ref="Q14" r:id="rId103" xr:uid="{24B3B2E8-76F0-49FE-A083-DCD2E159A511}"/>
  </hyperlinks>
  <pageMargins left="0.7" right="0.7" top="0.75" bottom="0.75" header="0.3" footer="0.3"/>
  <pageSetup paperSize="9" orientation="portrait" r:id="rId104"/>
  <legacyDrawing r:id="rId10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7BBF-2D47-46D4-99A5-8A2ACE188766}">
  <dimension ref="A1:L27"/>
  <sheetViews>
    <sheetView zoomScale="60" zoomScaleNormal="60" workbookViewId="0">
      <selection activeCell="O9" sqref="O9"/>
    </sheetView>
  </sheetViews>
  <sheetFormatPr defaultRowHeight="13.2" x14ac:dyDescent="0.25"/>
  <cols>
    <col min="1" max="1" width="8.88671875" style="56"/>
    <col min="2" max="2" width="32.77734375" style="57" customWidth="1"/>
    <col min="3" max="3" width="13.77734375" style="57" customWidth="1"/>
    <col min="4" max="4" width="16.44140625" style="57" customWidth="1"/>
    <col min="5" max="5" width="14.88671875" style="57" customWidth="1"/>
    <col min="6" max="6" width="22.44140625" style="58" customWidth="1"/>
    <col min="7" max="7" width="20.21875" style="57" customWidth="1"/>
    <col min="8" max="8" width="17.109375" style="57" customWidth="1"/>
    <col min="9" max="10" width="22.88671875" style="57" customWidth="1"/>
    <col min="11" max="11" width="20.109375" style="57" customWidth="1"/>
    <col min="12" max="12" width="21.33203125" style="57" customWidth="1"/>
    <col min="13" max="16384" width="8.88671875" style="56"/>
  </cols>
  <sheetData>
    <row r="1" spans="1:12" x14ac:dyDescent="0.25">
      <c r="I1" s="178" t="s">
        <v>245</v>
      </c>
      <c r="J1" s="178"/>
      <c r="K1" s="178"/>
    </row>
    <row r="2" spans="1:12" s="58" customFormat="1" ht="37.799999999999997" customHeight="1" x14ac:dyDescent="0.3">
      <c r="A2" s="59" t="s">
        <v>246</v>
      </c>
      <c r="B2" s="60" t="s">
        <v>3</v>
      </c>
      <c r="C2" s="60" t="s">
        <v>247</v>
      </c>
      <c r="D2" s="59" t="s">
        <v>5</v>
      </c>
      <c r="E2" s="59" t="s">
        <v>6</v>
      </c>
      <c r="F2" s="59" t="s">
        <v>248</v>
      </c>
      <c r="G2" s="59" t="s">
        <v>249</v>
      </c>
      <c r="H2" s="59" t="s">
        <v>250</v>
      </c>
      <c r="I2" s="60" t="s">
        <v>251</v>
      </c>
      <c r="J2" s="60" t="s">
        <v>252</v>
      </c>
      <c r="K2" s="60" t="s">
        <v>253</v>
      </c>
      <c r="L2" s="60" t="s">
        <v>254</v>
      </c>
    </row>
    <row r="3" spans="1:12" s="57" customFormat="1" ht="23.4" customHeight="1" x14ac:dyDescent="0.3">
      <c r="A3" s="61">
        <v>1</v>
      </c>
      <c r="B3" s="61" t="s">
        <v>255</v>
      </c>
      <c r="C3" s="61"/>
      <c r="D3" s="61" t="s">
        <v>256</v>
      </c>
      <c r="E3" s="61" t="s">
        <v>256</v>
      </c>
      <c r="F3" s="62" t="s">
        <v>257</v>
      </c>
      <c r="G3" s="63" t="s">
        <v>258</v>
      </c>
      <c r="H3" s="63" t="s">
        <v>259</v>
      </c>
      <c r="I3" s="64" t="s">
        <v>260</v>
      </c>
      <c r="J3" s="65" t="s">
        <v>261</v>
      </c>
      <c r="K3" s="61">
        <v>1</v>
      </c>
      <c r="L3" s="61" t="s">
        <v>262</v>
      </c>
    </row>
    <row r="4" spans="1:12" s="57" customFormat="1" ht="23.4" customHeight="1" x14ac:dyDescent="0.3">
      <c r="A4" s="61">
        <v>2</v>
      </c>
      <c r="B4" s="60" t="s">
        <v>58</v>
      </c>
      <c r="C4" s="60"/>
      <c r="D4" s="61" t="s">
        <v>263</v>
      </c>
      <c r="E4" s="66" t="s">
        <v>264</v>
      </c>
      <c r="F4" s="62" t="s">
        <v>265</v>
      </c>
      <c r="G4" s="63" t="s">
        <v>266</v>
      </c>
      <c r="H4" s="63" t="s">
        <v>267</v>
      </c>
      <c r="I4" s="60" t="s">
        <v>268</v>
      </c>
      <c r="J4" s="60" t="s">
        <v>269</v>
      </c>
      <c r="K4" s="60">
        <v>1</v>
      </c>
      <c r="L4" s="60" t="s">
        <v>262</v>
      </c>
    </row>
    <row r="5" spans="1:12" s="57" customFormat="1" ht="23.4" customHeight="1" x14ac:dyDescent="0.3">
      <c r="A5" s="61">
        <v>3</v>
      </c>
      <c r="B5" s="60" t="s">
        <v>23</v>
      </c>
      <c r="C5" s="60" t="s">
        <v>270</v>
      </c>
      <c r="D5" s="61" t="s">
        <v>263</v>
      </c>
      <c r="E5" s="66" t="s">
        <v>264</v>
      </c>
      <c r="F5" s="62" t="s">
        <v>271</v>
      </c>
      <c r="G5" s="63" t="s">
        <v>272</v>
      </c>
      <c r="H5" s="63" t="s">
        <v>273</v>
      </c>
      <c r="I5" s="60" t="s">
        <v>274</v>
      </c>
      <c r="J5" s="60" t="s">
        <v>275</v>
      </c>
      <c r="K5" s="60">
        <v>1</v>
      </c>
      <c r="L5" s="60">
        <v>1</v>
      </c>
    </row>
    <row r="6" spans="1:12" s="57" customFormat="1" ht="23.4" customHeight="1" x14ac:dyDescent="0.3">
      <c r="A6" s="61">
        <v>4</v>
      </c>
      <c r="B6" s="60" t="s">
        <v>55</v>
      </c>
      <c r="C6" s="60"/>
      <c r="D6" s="61" t="s">
        <v>276</v>
      </c>
      <c r="E6" s="61" t="s">
        <v>277</v>
      </c>
      <c r="F6" s="63" t="s">
        <v>278</v>
      </c>
      <c r="G6" s="63" t="s">
        <v>279</v>
      </c>
      <c r="H6" s="63" t="s">
        <v>280</v>
      </c>
      <c r="I6" s="60" t="s">
        <v>281</v>
      </c>
      <c r="J6" s="60" t="s">
        <v>282</v>
      </c>
      <c r="K6" s="67" t="s">
        <v>283</v>
      </c>
      <c r="L6" s="60"/>
    </row>
    <row r="7" spans="1:12" s="57" customFormat="1" ht="23.4" customHeight="1" x14ac:dyDescent="0.3">
      <c r="A7" s="61">
        <v>5</v>
      </c>
      <c r="B7" s="60" t="s">
        <v>28</v>
      </c>
      <c r="C7" s="60"/>
      <c r="D7" s="61" t="s">
        <v>263</v>
      </c>
      <c r="E7" s="66" t="s">
        <v>29</v>
      </c>
      <c r="F7" s="62" t="s">
        <v>284</v>
      </c>
      <c r="G7" s="63" t="s">
        <v>285</v>
      </c>
      <c r="H7" s="63" t="s">
        <v>286</v>
      </c>
      <c r="I7" s="60" t="s">
        <v>287</v>
      </c>
      <c r="J7" s="60" t="s">
        <v>288</v>
      </c>
      <c r="K7" s="67" t="s">
        <v>289</v>
      </c>
      <c r="L7" s="60"/>
    </row>
    <row r="8" spans="1:12" s="57" customFormat="1" ht="23.4" customHeight="1" x14ac:dyDescent="0.3">
      <c r="A8" s="61">
        <v>6</v>
      </c>
      <c r="B8" s="60" t="s">
        <v>116</v>
      </c>
      <c r="C8" s="60"/>
      <c r="D8" s="61" t="s">
        <v>276</v>
      </c>
      <c r="E8" s="66" t="s">
        <v>53</v>
      </c>
      <c r="F8" s="62" t="s">
        <v>290</v>
      </c>
      <c r="G8" s="63" t="s">
        <v>291</v>
      </c>
      <c r="H8" s="63" t="s">
        <v>292</v>
      </c>
      <c r="I8" s="60" t="s">
        <v>293</v>
      </c>
      <c r="J8" s="60" t="s">
        <v>294</v>
      </c>
      <c r="K8" s="67" t="s">
        <v>295</v>
      </c>
      <c r="L8" s="60"/>
    </row>
    <row r="9" spans="1:12" ht="23.4" customHeight="1" x14ac:dyDescent="0.3">
      <c r="A9" s="61">
        <v>7</v>
      </c>
      <c r="B9" s="60" t="s">
        <v>65</v>
      </c>
      <c r="C9" s="60"/>
      <c r="D9" s="61" t="s">
        <v>296</v>
      </c>
      <c r="E9" s="66" t="s">
        <v>41</v>
      </c>
      <c r="F9" s="62" t="s">
        <v>297</v>
      </c>
      <c r="G9" s="63" t="s">
        <v>298</v>
      </c>
      <c r="H9" s="63" t="s">
        <v>299</v>
      </c>
      <c r="I9" s="60" t="s">
        <v>300</v>
      </c>
      <c r="J9" s="60" t="s">
        <v>301</v>
      </c>
      <c r="K9" s="61">
        <v>1</v>
      </c>
      <c r="L9" s="60">
        <v>1</v>
      </c>
    </row>
    <row r="10" spans="1:12" ht="23.4" customHeight="1" x14ac:dyDescent="0.3">
      <c r="A10" s="61">
        <v>8</v>
      </c>
      <c r="B10" s="60" t="s">
        <v>302</v>
      </c>
      <c r="C10" s="60" t="s">
        <v>303</v>
      </c>
      <c r="D10" s="61" t="s">
        <v>296</v>
      </c>
      <c r="E10" s="66" t="s">
        <v>41</v>
      </c>
      <c r="F10" s="62" t="s">
        <v>304</v>
      </c>
      <c r="G10" s="63" t="s">
        <v>305</v>
      </c>
      <c r="H10" s="63" t="s">
        <v>306</v>
      </c>
      <c r="I10" s="60" t="s">
        <v>262</v>
      </c>
      <c r="J10" s="60" t="s">
        <v>262</v>
      </c>
      <c r="K10" s="60" t="s">
        <v>262</v>
      </c>
      <c r="L10" s="60" t="s">
        <v>262</v>
      </c>
    </row>
    <row r="11" spans="1:12" ht="23.4" customHeight="1" x14ac:dyDescent="0.3">
      <c r="A11" s="61">
        <v>9</v>
      </c>
      <c r="B11" s="60" t="s">
        <v>307</v>
      </c>
      <c r="C11" s="60" t="s">
        <v>308</v>
      </c>
      <c r="D11" s="61" t="s">
        <v>296</v>
      </c>
      <c r="E11" s="66" t="s">
        <v>41</v>
      </c>
      <c r="F11" s="62" t="s">
        <v>309</v>
      </c>
      <c r="G11" s="63" t="s">
        <v>310</v>
      </c>
      <c r="H11" s="63" t="s">
        <v>311</v>
      </c>
      <c r="I11" s="61" t="s">
        <v>262</v>
      </c>
      <c r="J11" s="61" t="s">
        <v>262</v>
      </c>
      <c r="K11" s="61" t="s">
        <v>262</v>
      </c>
      <c r="L11" s="60">
        <v>1</v>
      </c>
    </row>
    <row r="12" spans="1:12" ht="23.4" customHeight="1" x14ac:dyDescent="0.3">
      <c r="A12" s="61">
        <v>10</v>
      </c>
      <c r="B12" s="60" t="s">
        <v>133</v>
      </c>
      <c r="C12" s="60"/>
      <c r="D12" s="61" t="s">
        <v>296</v>
      </c>
      <c r="E12" s="66" t="s">
        <v>41</v>
      </c>
      <c r="F12" s="62" t="s">
        <v>312</v>
      </c>
      <c r="G12" s="63" t="s">
        <v>313</v>
      </c>
      <c r="H12" s="63" t="s">
        <v>314</v>
      </c>
      <c r="I12" s="60" t="s">
        <v>315</v>
      </c>
      <c r="J12" s="60" t="s">
        <v>316</v>
      </c>
      <c r="K12" s="60">
        <v>1</v>
      </c>
      <c r="L12" s="60">
        <v>1</v>
      </c>
    </row>
    <row r="13" spans="1:12" ht="23.4" customHeight="1" x14ac:dyDescent="0.3">
      <c r="A13" s="61">
        <v>11</v>
      </c>
      <c r="B13" s="60" t="s">
        <v>317</v>
      </c>
      <c r="C13" s="60" t="s">
        <v>318</v>
      </c>
      <c r="D13" s="61" t="s">
        <v>263</v>
      </c>
      <c r="E13" s="66" t="s">
        <v>264</v>
      </c>
      <c r="F13" s="62" t="s">
        <v>319</v>
      </c>
      <c r="G13" s="63" t="s">
        <v>320</v>
      </c>
      <c r="H13" s="63" t="s">
        <v>321</v>
      </c>
      <c r="I13" s="60" t="s">
        <v>322</v>
      </c>
      <c r="J13" s="60" t="s">
        <v>323</v>
      </c>
      <c r="K13" s="60">
        <v>1</v>
      </c>
      <c r="L13" s="60">
        <v>1</v>
      </c>
    </row>
    <row r="14" spans="1:12" ht="23.4" customHeight="1" x14ac:dyDescent="0.3">
      <c r="A14" s="61">
        <v>12</v>
      </c>
      <c r="B14" s="60" t="s">
        <v>71</v>
      </c>
      <c r="C14" s="60"/>
      <c r="D14" s="61" t="s">
        <v>276</v>
      </c>
      <c r="E14" s="66" t="s">
        <v>72</v>
      </c>
      <c r="F14" s="62" t="s">
        <v>324</v>
      </c>
      <c r="G14" s="63" t="s">
        <v>325</v>
      </c>
      <c r="H14" s="63" t="s">
        <v>326</v>
      </c>
      <c r="I14" s="60" t="s">
        <v>327</v>
      </c>
      <c r="J14" s="60" t="s">
        <v>328</v>
      </c>
      <c r="K14" s="67" t="s">
        <v>329</v>
      </c>
      <c r="L14" s="60"/>
    </row>
    <row r="15" spans="1:12" ht="23.4" customHeight="1" x14ac:dyDescent="0.3">
      <c r="A15" s="61">
        <v>13</v>
      </c>
      <c r="B15" s="60" t="s">
        <v>330</v>
      </c>
      <c r="C15" s="60"/>
      <c r="D15" s="61" t="s">
        <v>263</v>
      </c>
      <c r="E15" s="61" t="s">
        <v>62</v>
      </c>
      <c r="F15" s="62" t="s">
        <v>331</v>
      </c>
      <c r="G15" s="63" t="s">
        <v>332</v>
      </c>
      <c r="H15" s="63" t="s">
        <v>333</v>
      </c>
      <c r="I15" s="60" t="s">
        <v>334</v>
      </c>
      <c r="J15" s="60" t="s">
        <v>294</v>
      </c>
      <c r="K15" s="67" t="s">
        <v>335</v>
      </c>
      <c r="L15" s="60"/>
    </row>
    <row r="16" spans="1:12" ht="23.4" customHeight="1" x14ac:dyDescent="0.3">
      <c r="A16" s="61">
        <v>14</v>
      </c>
      <c r="B16" s="60" t="s">
        <v>85</v>
      </c>
      <c r="C16" s="60"/>
      <c r="D16" s="61" t="s">
        <v>296</v>
      </c>
      <c r="E16" s="66" t="s">
        <v>41</v>
      </c>
      <c r="F16" s="62" t="s">
        <v>336</v>
      </c>
      <c r="G16" s="63" t="s">
        <v>337</v>
      </c>
      <c r="H16" s="63" t="s">
        <v>338</v>
      </c>
      <c r="I16" s="60" t="s">
        <v>262</v>
      </c>
      <c r="J16" s="60" t="s">
        <v>262</v>
      </c>
      <c r="K16" s="60" t="s">
        <v>262</v>
      </c>
      <c r="L16" s="60"/>
    </row>
    <row r="17" spans="1:12" ht="23.4" customHeight="1" x14ac:dyDescent="0.3">
      <c r="A17" s="61">
        <v>15</v>
      </c>
      <c r="B17" s="60" t="s">
        <v>339</v>
      </c>
      <c r="C17" s="60"/>
      <c r="D17" s="61" t="s">
        <v>263</v>
      </c>
      <c r="E17" s="66" t="s">
        <v>32</v>
      </c>
      <c r="F17" s="62" t="s">
        <v>340</v>
      </c>
      <c r="G17" s="63" t="s">
        <v>341</v>
      </c>
      <c r="H17" s="63" t="s">
        <v>341</v>
      </c>
      <c r="I17" s="60" t="s">
        <v>342</v>
      </c>
      <c r="J17" s="60" t="s">
        <v>294</v>
      </c>
      <c r="K17" s="67" t="s">
        <v>343</v>
      </c>
      <c r="L17" s="60"/>
    </row>
    <row r="18" spans="1:12" ht="23.4" customHeight="1" x14ac:dyDescent="0.3">
      <c r="A18" s="61">
        <v>16</v>
      </c>
      <c r="B18" s="60" t="s">
        <v>44</v>
      </c>
      <c r="C18" s="60"/>
      <c r="D18" s="61" t="s">
        <v>344</v>
      </c>
      <c r="E18" s="64" t="s">
        <v>46</v>
      </c>
      <c r="F18" s="62" t="s">
        <v>345</v>
      </c>
      <c r="G18" s="63" t="s">
        <v>346</v>
      </c>
      <c r="H18" s="63" t="s">
        <v>347</v>
      </c>
      <c r="I18" s="60" t="s">
        <v>341</v>
      </c>
      <c r="J18" s="60" t="s">
        <v>262</v>
      </c>
      <c r="K18" s="60">
        <v>1</v>
      </c>
      <c r="L18" s="60"/>
    </row>
    <row r="19" spans="1:12" ht="23.4" customHeight="1" x14ac:dyDescent="0.3">
      <c r="A19" s="61">
        <v>17</v>
      </c>
      <c r="B19" s="60" t="s">
        <v>88</v>
      </c>
      <c r="C19" s="60"/>
      <c r="D19" s="61" t="s">
        <v>296</v>
      </c>
      <c r="E19" s="66" t="s">
        <v>41</v>
      </c>
      <c r="F19" s="62" t="s">
        <v>348</v>
      </c>
      <c r="G19" s="63" t="s">
        <v>349</v>
      </c>
      <c r="H19" s="63" t="s">
        <v>350</v>
      </c>
      <c r="I19" s="60" t="s">
        <v>262</v>
      </c>
      <c r="J19" s="60" t="s">
        <v>262</v>
      </c>
      <c r="K19" s="60" t="s">
        <v>262</v>
      </c>
      <c r="L19" s="60"/>
    </row>
    <row r="20" spans="1:12" ht="23.4" customHeight="1" x14ac:dyDescent="0.3">
      <c r="A20" s="61">
        <v>18</v>
      </c>
      <c r="B20" s="60" t="s">
        <v>73</v>
      </c>
      <c r="C20" s="60"/>
      <c r="D20" s="61" t="s">
        <v>276</v>
      </c>
      <c r="E20" s="66" t="s">
        <v>74</v>
      </c>
      <c r="F20" s="62" t="s">
        <v>351</v>
      </c>
      <c r="G20" s="63" t="s">
        <v>352</v>
      </c>
      <c r="H20" s="63" t="s">
        <v>353</v>
      </c>
      <c r="I20" s="60" t="s">
        <v>354</v>
      </c>
      <c r="J20" s="60" t="s">
        <v>294</v>
      </c>
      <c r="K20" s="60">
        <v>1</v>
      </c>
      <c r="L20" s="60"/>
    </row>
    <row r="21" spans="1:12" ht="23.4" customHeight="1" x14ac:dyDescent="0.3">
      <c r="A21" s="61">
        <v>19</v>
      </c>
      <c r="B21" s="60" t="s">
        <v>77</v>
      </c>
      <c r="C21" s="60"/>
      <c r="D21" s="61" t="s">
        <v>296</v>
      </c>
      <c r="E21" s="66" t="s">
        <v>78</v>
      </c>
      <c r="F21" s="62" t="s">
        <v>355</v>
      </c>
      <c r="G21" s="63" t="s">
        <v>356</v>
      </c>
      <c r="H21" s="63" t="s">
        <v>357</v>
      </c>
      <c r="I21" s="60" t="s">
        <v>358</v>
      </c>
      <c r="J21" s="60" t="s">
        <v>294</v>
      </c>
      <c r="K21" s="60">
        <v>1</v>
      </c>
      <c r="L21" s="60"/>
    </row>
    <row r="22" spans="1:12" ht="23.4" customHeight="1" x14ac:dyDescent="0.3">
      <c r="A22" s="61">
        <v>20</v>
      </c>
      <c r="B22" s="60" t="s">
        <v>33</v>
      </c>
      <c r="C22" s="60"/>
      <c r="D22" s="61" t="s">
        <v>263</v>
      </c>
      <c r="E22" s="66" t="s">
        <v>34</v>
      </c>
      <c r="F22" s="62" t="s">
        <v>359</v>
      </c>
      <c r="G22" s="63" t="s">
        <v>360</v>
      </c>
      <c r="H22" s="63" t="s">
        <v>361</v>
      </c>
      <c r="I22" s="60" t="s">
        <v>362</v>
      </c>
      <c r="J22" s="60" t="s">
        <v>294</v>
      </c>
      <c r="K22" s="60" t="s">
        <v>363</v>
      </c>
      <c r="L22" s="60"/>
    </row>
    <row r="23" spans="1:12" ht="23.4" customHeight="1" x14ac:dyDescent="0.3">
      <c r="A23" s="61">
        <v>21</v>
      </c>
      <c r="B23" s="60" t="s">
        <v>17</v>
      </c>
      <c r="C23" s="60"/>
      <c r="D23" s="61" t="s">
        <v>276</v>
      </c>
      <c r="E23" s="66" t="s">
        <v>20</v>
      </c>
      <c r="F23" s="62" t="s">
        <v>364</v>
      </c>
      <c r="G23" s="63" t="s">
        <v>365</v>
      </c>
      <c r="H23" s="63" t="s">
        <v>365</v>
      </c>
      <c r="I23" s="60" t="s">
        <v>366</v>
      </c>
      <c r="J23" s="60" t="s">
        <v>367</v>
      </c>
      <c r="K23" s="60">
        <v>1</v>
      </c>
      <c r="L23" s="60"/>
    </row>
    <row r="24" spans="1:12" ht="23.4" customHeight="1" x14ac:dyDescent="0.3">
      <c r="A24" s="61">
        <v>22</v>
      </c>
      <c r="B24" s="60" t="s">
        <v>368</v>
      </c>
      <c r="C24" s="60"/>
      <c r="D24" s="61" t="s">
        <v>263</v>
      </c>
      <c r="E24" s="66" t="s">
        <v>37</v>
      </c>
      <c r="F24" s="62" t="s">
        <v>369</v>
      </c>
      <c r="G24" s="63" t="s">
        <v>370</v>
      </c>
      <c r="H24" s="63" t="s">
        <v>371</v>
      </c>
      <c r="I24" s="60" t="s">
        <v>372</v>
      </c>
      <c r="J24" s="60" t="s">
        <v>294</v>
      </c>
      <c r="K24" s="60">
        <v>1</v>
      </c>
      <c r="L24" s="60"/>
    </row>
    <row r="25" spans="1:12" ht="23.4" customHeight="1" x14ac:dyDescent="0.3">
      <c r="A25" s="61">
        <v>23</v>
      </c>
      <c r="B25" s="60" t="s">
        <v>66</v>
      </c>
      <c r="C25" s="60"/>
      <c r="D25" s="61" t="s">
        <v>296</v>
      </c>
      <c r="E25" s="66" t="s">
        <v>41</v>
      </c>
      <c r="F25" s="62" t="s">
        <v>373</v>
      </c>
      <c r="G25" s="63" t="s">
        <v>374</v>
      </c>
      <c r="H25" s="63" t="s">
        <v>375</v>
      </c>
      <c r="I25" s="60" t="s">
        <v>262</v>
      </c>
      <c r="J25" s="60" t="s">
        <v>262</v>
      </c>
      <c r="K25" s="60" t="s">
        <v>262</v>
      </c>
      <c r="L25" s="60"/>
    </row>
    <row r="26" spans="1:12" ht="23.4" customHeight="1" x14ac:dyDescent="0.3">
      <c r="A26" s="61">
        <v>24</v>
      </c>
      <c r="B26" s="60" t="s">
        <v>84</v>
      </c>
      <c r="C26" s="60"/>
      <c r="D26" s="61" t="s">
        <v>296</v>
      </c>
      <c r="E26" s="66" t="s">
        <v>41</v>
      </c>
      <c r="F26" s="62" t="s">
        <v>376</v>
      </c>
      <c r="G26" s="63" t="s">
        <v>377</v>
      </c>
      <c r="H26" s="63" t="s">
        <v>378</v>
      </c>
      <c r="I26" s="60" t="s">
        <v>379</v>
      </c>
      <c r="J26" s="60" t="s">
        <v>380</v>
      </c>
      <c r="K26" s="60">
        <v>1</v>
      </c>
      <c r="L26" s="60"/>
    </row>
    <row r="27" spans="1:12" ht="23.4" customHeight="1" x14ac:dyDescent="0.3">
      <c r="A27" s="61">
        <v>25</v>
      </c>
      <c r="B27" s="60" t="s">
        <v>67</v>
      </c>
      <c r="C27" s="60"/>
      <c r="D27" s="61" t="s">
        <v>296</v>
      </c>
      <c r="E27" s="66" t="s">
        <v>68</v>
      </c>
      <c r="F27" s="62" t="s">
        <v>381</v>
      </c>
      <c r="G27" s="63" t="s">
        <v>382</v>
      </c>
      <c r="H27" s="63" t="s">
        <v>383</v>
      </c>
      <c r="I27" s="60" t="s">
        <v>384</v>
      </c>
      <c r="J27" s="60" t="s">
        <v>294</v>
      </c>
      <c r="K27" s="67" t="s">
        <v>385</v>
      </c>
      <c r="L27" s="60"/>
    </row>
  </sheetData>
  <mergeCells count="1">
    <mergeCell ref="I1:K1"/>
  </mergeCells>
  <hyperlinks>
    <hyperlink ref="F4" r:id="rId1" xr:uid="{B3DB3D2B-16A4-4618-B448-0BF49BDF5801}"/>
    <hyperlink ref="F3" r:id="rId2" xr:uid="{59471EB1-93EE-487F-A85B-80C6E7202A65}"/>
    <hyperlink ref="F5" r:id="rId3" xr:uid="{DA26DD86-66F0-4D3D-A889-620B37F076BF}"/>
    <hyperlink ref="F6" r:id="rId4" xr:uid="{792EA9EC-421E-4305-BFF8-2FC8143E1606}"/>
    <hyperlink ref="F7" r:id="rId5" xr:uid="{7C234571-07AD-4F5F-BE48-74AA3886C72C}"/>
    <hyperlink ref="F8" r:id="rId6" xr:uid="{0A5874B0-3B30-466A-9364-0A9A9C23BE5D}"/>
    <hyperlink ref="F9" r:id="rId7" xr:uid="{0816D49B-C575-4925-88D1-A2AE10AA374B}"/>
    <hyperlink ref="F10" r:id="rId8" xr:uid="{CBDDD0AE-E54D-4755-AE0E-0D0A1087418B}"/>
    <hyperlink ref="F11" r:id="rId9" xr:uid="{B26BDEEC-45F9-4541-AF18-0178680A10C0}"/>
    <hyperlink ref="F12" r:id="rId10" xr:uid="{0B70256E-F2A5-4A0E-9A01-A9DCE477B2B2}"/>
    <hyperlink ref="F13" r:id="rId11" xr:uid="{769A736E-5555-434B-A553-A14392A017E8}"/>
    <hyperlink ref="F16" r:id="rId12" xr:uid="{1271613E-C421-47E3-A9DD-79BE5726DF96}"/>
    <hyperlink ref="F17" r:id="rId13" xr:uid="{2ED0CDFE-2845-46DF-ACF4-1A307E52A0EA}"/>
    <hyperlink ref="F18" r:id="rId14" xr:uid="{C1909A4C-2879-4540-873B-5EB8CFD82163}"/>
    <hyperlink ref="F19" r:id="rId15" xr:uid="{E8EE4425-43CD-4596-8D70-3ABD5F1D7F32}"/>
    <hyperlink ref="F20" r:id="rId16" xr:uid="{2043ECA9-714F-4F62-BDD0-E81EAF538B7D}"/>
    <hyperlink ref="F22" r:id="rId17" xr:uid="{214AB63B-13A1-4E10-A5FE-98E225E0ECEA}"/>
    <hyperlink ref="F23" r:id="rId18" xr:uid="{6860F8D8-E1D4-4851-AED9-A64E58052AE9}"/>
    <hyperlink ref="F24" r:id="rId19" xr:uid="{4092A79F-C6BB-4224-963E-C2DF75A9D08C}"/>
    <hyperlink ref="F25" r:id="rId20" xr:uid="{BAAC9D62-7277-41D2-8872-7E9F4F9906E6}"/>
    <hyperlink ref="F26" r:id="rId21" xr:uid="{92E6ABC7-4338-4C25-BD78-3831F1DD3C52}"/>
    <hyperlink ref="F27" r:id="rId22" xr:uid="{687C809B-7728-4638-9E56-2420158EE500}"/>
    <hyperlink ref="F15" r:id="rId23" xr:uid="{828CD66C-1612-45B4-8207-B39A45545949}"/>
    <hyperlink ref="F21" r:id="rId24" xr:uid="{F9975A9D-370D-4C3A-AD33-DB0D1E75C334}"/>
    <hyperlink ref="F14" r:id="rId25" xr:uid="{5D47AAA8-9659-4D67-A0E4-0F91B2300A2C}"/>
    <hyperlink ref="G4" r:id="rId26" xr:uid="{08D680DE-9796-45B2-9316-F1999ACB1ADA}"/>
    <hyperlink ref="G3" r:id="rId27" xr:uid="{10088D1F-663D-4DFB-842A-D45604EC495D}"/>
    <hyperlink ref="G6" r:id="rId28" xr:uid="{06640682-065B-4635-869C-AFD2D8724836}"/>
    <hyperlink ref="G5" r:id="rId29" xr:uid="{99541569-407C-4B4E-9353-90776E27C28C}"/>
    <hyperlink ref="G7" r:id="rId30" xr:uid="{31F62C00-7B97-442A-BECF-816116FD66D9}"/>
    <hyperlink ref="G8" r:id="rId31" xr:uid="{BFBBB729-DAC1-4320-A27E-0017C576109F}"/>
    <hyperlink ref="G9" r:id="rId32" xr:uid="{8036F3AE-BEA0-4348-9232-FA202AE52797}"/>
    <hyperlink ref="G10" r:id="rId33" xr:uid="{2A380852-CC02-4346-9253-C544B3683F48}"/>
    <hyperlink ref="G11" r:id="rId34" xr:uid="{9E625227-90AC-4324-8BCC-BC34116B8E47}"/>
    <hyperlink ref="G12" r:id="rId35" xr:uid="{DB816DAE-4215-4F59-B354-9FBA6BA23066}"/>
    <hyperlink ref="G27" r:id="rId36" xr:uid="{89CB211B-0145-4E14-A787-DBB0F5CD7AB2}"/>
    <hyperlink ref="G21" r:id="rId37" xr:uid="{42C9800A-C794-455C-9923-7042DA0E9030}"/>
    <hyperlink ref="G14" r:id="rId38" xr:uid="{EF3AD5C6-BEC8-42A4-8AE5-741E6A791519}"/>
    <hyperlink ref="G13" r:id="rId39" xr:uid="{2E424747-3A52-4ABE-B661-2B53449030AD}"/>
    <hyperlink ref="G15" r:id="rId40" xr:uid="{FCF600DC-EE5F-45FE-80D7-88B09EADE08E}"/>
    <hyperlink ref="G16" r:id="rId41" xr:uid="{0DB345CA-8C72-439E-A2E3-8305817DBB1B}"/>
    <hyperlink ref="G17" r:id="rId42" xr:uid="{A741857C-6758-47B9-A7A8-2CC9311692D2}"/>
    <hyperlink ref="G18" r:id="rId43" xr:uid="{4C516C60-8DE8-4C03-BE7B-0A6F18156D31}"/>
    <hyperlink ref="G19" r:id="rId44" xr:uid="{B1A7B248-FC07-4FDB-82F9-BDA20D01FE87}"/>
    <hyperlink ref="G20" r:id="rId45" xr:uid="{82A46068-6BEE-41AE-A0ED-CAF22EE14B89}"/>
    <hyperlink ref="G22" r:id="rId46" xr:uid="{80C46D67-8780-4C39-B089-28E2465F8C9D}"/>
    <hyperlink ref="G23" r:id="rId47" xr:uid="{E5D3F354-2267-460A-8DA1-BE081233388F}"/>
    <hyperlink ref="G24" r:id="rId48" xr:uid="{8043E2E7-E2B6-4B9D-BCDC-8B871895D640}"/>
    <hyperlink ref="G25" r:id="rId49" xr:uid="{0DBB5DE8-4230-432E-84ED-55614A8E5C1E}"/>
    <hyperlink ref="G26" r:id="rId50" xr:uid="{2E36BA5D-41A7-4846-8A9A-EA746D2F0C4C}"/>
    <hyperlink ref="H5" r:id="rId51" xr:uid="{6CB93B3F-B052-4C45-A28F-C2139A0C442B}"/>
    <hyperlink ref="H4" r:id="rId52" xr:uid="{3340EC67-5C81-4C5F-A5DE-4EDFD2C393BE}"/>
    <hyperlink ref="H3" r:id="rId53" xr:uid="{F75C8C2E-2FEB-4884-868E-E12012D10A91}"/>
    <hyperlink ref="H6" r:id="rId54" xr:uid="{0D1C1CDF-6EF1-44D2-9303-CE0A3070AD1D}"/>
    <hyperlink ref="H7" r:id="rId55" xr:uid="{1897209D-A6FC-4F3C-9F68-D6B9DDAF3064}"/>
    <hyperlink ref="H8" r:id="rId56" xr:uid="{9B964897-33BF-4325-866E-5EC5615C12D1}"/>
    <hyperlink ref="H9" r:id="rId57" xr:uid="{3EA2F45E-F443-46BC-BA73-9708E8A0EA4C}"/>
    <hyperlink ref="H10" r:id="rId58" xr:uid="{F48E41A3-46BC-4478-AEEA-15F5D2E84176}"/>
    <hyperlink ref="H11" r:id="rId59" xr:uid="{56D0F7BC-7F71-4E88-8041-9E4D7739595C}"/>
    <hyperlink ref="H12" r:id="rId60" xr:uid="{EF053FE8-98BB-48D8-B2ED-B09CF194DB67}"/>
    <hyperlink ref="H27" r:id="rId61" xr:uid="{D6268DC4-22C7-4FE5-A47A-2AA31AD453E2}"/>
    <hyperlink ref="H21" r:id="rId62" xr:uid="{3A183370-43D4-485B-B2A1-4FE3979049A9}"/>
    <hyperlink ref="H14" r:id="rId63" xr:uid="{76CC0CE8-4C87-4CEA-A0F4-3D33A04DB5DD}"/>
    <hyperlink ref="H13" r:id="rId64" xr:uid="{18307DE6-3B08-44E5-816F-532F649522FC}"/>
    <hyperlink ref="H16" r:id="rId65" xr:uid="{2A9717D8-FC4F-4505-A2E2-A87B70B1E6E3}"/>
    <hyperlink ref="H17" r:id="rId66" xr:uid="{A8DA8750-614D-484E-AD4F-5A3673E06E04}"/>
    <hyperlink ref="H18" r:id="rId67" xr:uid="{C14613AD-93F8-409E-88D1-71631DBF48EB}"/>
    <hyperlink ref="H19" r:id="rId68" xr:uid="{6F308E33-EE9E-42C4-AA68-0994B660975A}"/>
    <hyperlink ref="H20" r:id="rId69" xr:uid="{0FB536D9-8D4C-4427-A0BF-C3738A695A0A}"/>
    <hyperlink ref="H22" r:id="rId70" xr:uid="{6E8DEC38-E881-4759-B9AF-0B96AC1A439A}"/>
    <hyperlink ref="H23" r:id="rId71" xr:uid="{B34475CF-4420-4ABF-96A6-E3ACE4388B83}"/>
    <hyperlink ref="H24" r:id="rId72" xr:uid="{58CB540B-4E78-4C44-8D44-28EFDED8E3F1}"/>
    <hyperlink ref="H25" r:id="rId73" xr:uid="{A8FC1D55-E447-4E5A-8014-74C67FF4F53A}"/>
    <hyperlink ref="H26" r:id="rId74" xr:uid="{B626072D-CC57-4AFA-A0FE-9E542E2F7E98}"/>
    <hyperlink ref="H15" r:id="rId75" xr:uid="{FCA0EA91-987D-40B1-8E08-DEB78632790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8356-41D6-437A-8232-DE8E995A22B7}">
  <dimension ref="A1:H37"/>
  <sheetViews>
    <sheetView workbookViewId="0">
      <selection activeCell="I6" sqref="I6"/>
    </sheetView>
  </sheetViews>
  <sheetFormatPr defaultRowHeight="14.4" x14ac:dyDescent="0.3"/>
  <cols>
    <col min="1" max="8" width="23.77734375" customWidth="1"/>
  </cols>
  <sheetData>
    <row r="1" spans="1: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</row>
    <row r="2" spans="1:8" x14ac:dyDescent="0.3">
      <c r="A2" t="s">
        <v>104</v>
      </c>
      <c r="B2" t="s">
        <v>158</v>
      </c>
      <c r="C2" t="s">
        <v>159</v>
      </c>
      <c r="D2" t="s">
        <v>41</v>
      </c>
      <c r="E2" t="s">
        <v>160</v>
      </c>
      <c r="F2">
        <v>2</v>
      </c>
      <c r="G2" t="s">
        <v>18</v>
      </c>
      <c r="H2" t="s">
        <v>89</v>
      </c>
    </row>
    <row r="3" spans="1:8" x14ac:dyDescent="0.3">
      <c r="A3" t="s">
        <v>115</v>
      </c>
      <c r="B3" t="s">
        <v>161</v>
      </c>
      <c r="C3" t="s">
        <v>162</v>
      </c>
      <c r="D3" t="s">
        <v>53</v>
      </c>
      <c r="E3" t="s">
        <v>160</v>
      </c>
      <c r="F3" t="s">
        <v>163</v>
      </c>
      <c r="G3" t="s">
        <v>18</v>
      </c>
      <c r="H3" t="s">
        <v>89</v>
      </c>
    </row>
    <row r="4" spans="1:8" x14ac:dyDescent="0.3">
      <c r="A4" t="s">
        <v>117</v>
      </c>
      <c r="B4" t="s">
        <v>164</v>
      </c>
      <c r="C4" t="s">
        <v>165</v>
      </c>
      <c r="D4" t="s">
        <v>46</v>
      </c>
      <c r="E4" t="s">
        <v>166</v>
      </c>
      <c r="F4">
        <v>3</v>
      </c>
      <c r="G4" t="s">
        <v>18</v>
      </c>
      <c r="H4" t="s">
        <v>89</v>
      </c>
    </row>
    <row r="5" spans="1:8" x14ac:dyDescent="0.3">
      <c r="A5" t="s">
        <v>119</v>
      </c>
      <c r="B5" t="s">
        <v>167</v>
      </c>
      <c r="C5" t="s">
        <v>168</v>
      </c>
      <c r="D5" t="s">
        <v>169</v>
      </c>
      <c r="E5" t="s">
        <v>169</v>
      </c>
      <c r="F5" t="s">
        <v>169</v>
      </c>
      <c r="G5" t="s">
        <v>169</v>
      </c>
      <c r="H5" t="s">
        <v>89</v>
      </c>
    </row>
    <row r="6" spans="1:8" x14ac:dyDescent="0.3">
      <c r="A6" t="s">
        <v>106</v>
      </c>
      <c r="B6" t="s">
        <v>170</v>
      </c>
      <c r="C6" t="s">
        <v>171</v>
      </c>
      <c r="D6" t="s">
        <v>172</v>
      </c>
      <c r="E6" t="s">
        <v>48</v>
      </c>
      <c r="F6" t="s">
        <v>173</v>
      </c>
      <c r="G6" t="s">
        <v>48</v>
      </c>
      <c r="H6" t="s">
        <v>16</v>
      </c>
    </row>
    <row r="7" spans="1:8" x14ac:dyDescent="0.3">
      <c r="A7" t="s">
        <v>108</v>
      </c>
      <c r="B7" t="s">
        <v>174</v>
      </c>
      <c r="C7" t="s">
        <v>175</v>
      </c>
      <c r="D7" t="s">
        <v>176</v>
      </c>
      <c r="E7" t="s">
        <v>50</v>
      </c>
      <c r="F7" t="s">
        <v>177</v>
      </c>
      <c r="G7" t="s">
        <v>50</v>
      </c>
      <c r="H7" t="s">
        <v>16</v>
      </c>
    </row>
    <row r="8" spans="1:8" x14ac:dyDescent="0.3">
      <c r="A8" t="s">
        <v>109</v>
      </c>
      <c r="B8" t="s">
        <v>178</v>
      </c>
      <c r="C8" t="s">
        <v>179</v>
      </c>
      <c r="D8" t="s">
        <v>25</v>
      </c>
      <c r="E8" t="s">
        <v>180</v>
      </c>
      <c r="F8">
        <v>1</v>
      </c>
      <c r="G8" t="s">
        <v>18</v>
      </c>
      <c r="H8" t="s">
        <v>16</v>
      </c>
    </row>
    <row r="9" spans="1:8" x14ac:dyDescent="0.3">
      <c r="A9" t="s">
        <v>110</v>
      </c>
      <c r="B9" t="s">
        <v>31</v>
      </c>
      <c r="C9" t="s">
        <v>181</v>
      </c>
      <c r="D9" t="s">
        <v>32</v>
      </c>
      <c r="E9" t="s">
        <v>180</v>
      </c>
      <c r="F9">
        <v>1</v>
      </c>
      <c r="G9" t="s">
        <v>18</v>
      </c>
      <c r="H9" t="s">
        <v>89</v>
      </c>
    </row>
    <row r="10" spans="1:8" x14ac:dyDescent="0.3">
      <c r="A10" t="s">
        <v>111</v>
      </c>
      <c r="B10" t="s">
        <v>182</v>
      </c>
      <c r="C10" t="s">
        <v>183</v>
      </c>
      <c r="D10" t="s">
        <v>29</v>
      </c>
      <c r="E10" t="s">
        <v>180</v>
      </c>
      <c r="F10">
        <v>1</v>
      </c>
      <c r="G10" t="s">
        <v>18</v>
      </c>
      <c r="H10" t="s">
        <v>89</v>
      </c>
    </row>
    <row r="11" spans="1:8" x14ac:dyDescent="0.3">
      <c r="A11" t="s">
        <v>112</v>
      </c>
      <c r="B11" t="s">
        <v>184</v>
      </c>
      <c r="C11" t="s">
        <v>185</v>
      </c>
      <c r="D11" t="s">
        <v>37</v>
      </c>
      <c r="E11" t="s">
        <v>180</v>
      </c>
      <c r="F11">
        <v>1</v>
      </c>
      <c r="G11" t="s">
        <v>18</v>
      </c>
      <c r="H11" t="s">
        <v>89</v>
      </c>
    </row>
    <row r="12" spans="1:8" x14ac:dyDescent="0.3">
      <c r="A12" t="s">
        <v>113</v>
      </c>
      <c r="B12" t="s">
        <v>186</v>
      </c>
      <c r="C12" t="s">
        <v>187</v>
      </c>
      <c r="D12" t="s">
        <v>34</v>
      </c>
      <c r="E12" t="s">
        <v>180</v>
      </c>
      <c r="F12">
        <v>1</v>
      </c>
      <c r="G12" t="s">
        <v>18</v>
      </c>
      <c r="H12" t="s">
        <v>89</v>
      </c>
    </row>
    <row r="13" spans="1:8" x14ac:dyDescent="0.3">
      <c r="A13" t="s">
        <v>114</v>
      </c>
      <c r="B13" t="s">
        <v>188</v>
      </c>
      <c r="C13" t="s">
        <v>189</v>
      </c>
      <c r="D13" t="s">
        <v>20</v>
      </c>
      <c r="E13" t="s">
        <v>160</v>
      </c>
      <c r="F13" t="s">
        <v>163</v>
      </c>
      <c r="G13" t="s">
        <v>18</v>
      </c>
      <c r="H13" t="s">
        <v>89</v>
      </c>
    </row>
    <row r="14" spans="1:8" x14ac:dyDescent="0.3">
      <c r="A14" t="s">
        <v>121</v>
      </c>
      <c r="B14" t="s">
        <v>158</v>
      </c>
      <c r="C14" t="s">
        <v>190</v>
      </c>
      <c r="D14" t="s">
        <v>41</v>
      </c>
      <c r="E14" t="s">
        <v>160</v>
      </c>
      <c r="F14">
        <v>2</v>
      </c>
      <c r="G14" t="s">
        <v>18</v>
      </c>
      <c r="H14" t="s">
        <v>89</v>
      </c>
    </row>
    <row r="15" spans="1:8" x14ac:dyDescent="0.3">
      <c r="A15" t="s">
        <v>134</v>
      </c>
      <c r="B15" t="s">
        <v>191</v>
      </c>
      <c r="C15" t="s">
        <v>192</v>
      </c>
      <c r="D15" t="s">
        <v>41</v>
      </c>
      <c r="E15" t="s">
        <v>160</v>
      </c>
      <c r="F15">
        <v>2</v>
      </c>
      <c r="G15" t="s">
        <v>18</v>
      </c>
      <c r="H15" t="s">
        <v>89</v>
      </c>
    </row>
    <row r="16" spans="1:8" x14ac:dyDescent="0.3">
      <c r="A16" t="s">
        <v>135</v>
      </c>
      <c r="B16" t="s">
        <v>193</v>
      </c>
      <c r="C16" t="s">
        <v>194</v>
      </c>
      <c r="D16" t="s">
        <v>68</v>
      </c>
      <c r="E16" t="s">
        <v>160</v>
      </c>
      <c r="F16">
        <v>2</v>
      </c>
      <c r="G16" t="s">
        <v>18</v>
      </c>
      <c r="H16" t="s">
        <v>89</v>
      </c>
    </row>
    <row r="17" spans="1:8" x14ac:dyDescent="0.3">
      <c r="A17" t="s">
        <v>136</v>
      </c>
      <c r="B17" t="s">
        <v>195</v>
      </c>
      <c r="C17" t="s">
        <v>196</v>
      </c>
      <c r="D17" t="s">
        <v>169</v>
      </c>
      <c r="E17" t="s">
        <v>169</v>
      </c>
      <c r="F17" t="s">
        <v>169</v>
      </c>
      <c r="G17" t="s">
        <v>169</v>
      </c>
      <c r="H17" t="s">
        <v>89</v>
      </c>
    </row>
    <row r="18" spans="1:8" x14ac:dyDescent="0.3">
      <c r="A18" t="s">
        <v>123</v>
      </c>
      <c r="B18" t="s">
        <v>197</v>
      </c>
      <c r="C18" t="s">
        <v>198</v>
      </c>
      <c r="D18" t="s">
        <v>199</v>
      </c>
      <c r="E18" t="s">
        <v>48</v>
      </c>
      <c r="F18" t="s">
        <v>173</v>
      </c>
      <c r="G18" t="s">
        <v>48</v>
      </c>
      <c r="H18" t="s">
        <v>16</v>
      </c>
    </row>
    <row r="19" spans="1:8" x14ac:dyDescent="0.3">
      <c r="A19" t="s">
        <v>125</v>
      </c>
      <c r="B19" t="s">
        <v>200</v>
      </c>
      <c r="C19" t="s">
        <v>201</v>
      </c>
      <c r="D19" t="s">
        <v>202</v>
      </c>
      <c r="E19" t="s">
        <v>50</v>
      </c>
      <c r="F19" t="s">
        <v>177</v>
      </c>
      <c r="G19" t="s">
        <v>50</v>
      </c>
      <c r="H19" t="s">
        <v>16</v>
      </c>
    </row>
    <row r="20" spans="1:8" x14ac:dyDescent="0.3">
      <c r="A20" t="s">
        <v>126</v>
      </c>
      <c r="B20" t="s">
        <v>203</v>
      </c>
      <c r="C20" t="s">
        <v>204</v>
      </c>
      <c r="D20" t="s">
        <v>25</v>
      </c>
      <c r="E20" t="s">
        <v>180</v>
      </c>
      <c r="F20">
        <v>1</v>
      </c>
      <c r="G20" t="s">
        <v>18</v>
      </c>
      <c r="H20" t="s">
        <v>89</v>
      </c>
    </row>
    <row r="21" spans="1:8" x14ac:dyDescent="0.3">
      <c r="A21" t="s">
        <v>127</v>
      </c>
      <c r="B21" t="s">
        <v>205</v>
      </c>
      <c r="C21" t="s">
        <v>206</v>
      </c>
      <c r="D21" t="s">
        <v>62</v>
      </c>
      <c r="E21" t="s">
        <v>180</v>
      </c>
      <c r="F21">
        <v>1</v>
      </c>
      <c r="G21" t="s">
        <v>18</v>
      </c>
      <c r="H21" t="s">
        <v>89</v>
      </c>
    </row>
    <row r="22" spans="1:8" x14ac:dyDescent="0.3">
      <c r="A22" t="s">
        <v>128</v>
      </c>
      <c r="B22" t="s">
        <v>207</v>
      </c>
      <c r="C22" t="s">
        <v>208</v>
      </c>
      <c r="D22" t="s">
        <v>25</v>
      </c>
      <c r="E22" t="s">
        <v>180</v>
      </c>
      <c r="F22">
        <v>1</v>
      </c>
      <c r="G22" t="s">
        <v>18</v>
      </c>
      <c r="H22" t="s">
        <v>89</v>
      </c>
    </row>
    <row r="23" spans="1:8" x14ac:dyDescent="0.3">
      <c r="A23" t="s">
        <v>130</v>
      </c>
      <c r="B23" t="s">
        <v>209</v>
      </c>
      <c r="C23" t="s">
        <v>210</v>
      </c>
      <c r="D23" t="s">
        <v>211</v>
      </c>
      <c r="E23" t="s">
        <v>180</v>
      </c>
      <c r="F23" t="s">
        <v>163</v>
      </c>
      <c r="G23" t="s">
        <v>18</v>
      </c>
      <c r="H23" t="s">
        <v>89</v>
      </c>
    </row>
    <row r="24" spans="1:8" x14ac:dyDescent="0.3">
      <c r="A24" t="s">
        <v>131</v>
      </c>
      <c r="B24" t="s">
        <v>212</v>
      </c>
      <c r="C24" t="s">
        <v>213</v>
      </c>
      <c r="D24" t="s">
        <v>41</v>
      </c>
      <c r="E24" t="s">
        <v>160</v>
      </c>
      <c r="F24">
        <v>2</v>
      </c>
      <c r="G24" t="s">
        <v>18</v>
      </c>
      <c r="H24" t="s">
        <v>89</v>
      </c>
    </row>
    <row r="25" spans="1:8" x14ac:dyDescent="0.3">
      <c r="A25" t="s">
        <v>132</v>
      </c>
      <c r="B25" t="s">
        <v>214</v>
      </c>
      <c r="C25" t="s">
        <v>215</v>
      </c>
      <c r="D25" t="s">
        <v>41</v>
      </c>
      <c r="E25" t="s">
        <v>160</v>
      </c>
      <c r="F25">
        <v>2</v>
      </c>
      <c r="G25" t="s">
        <v>18</v>
      </c>
      <c r="H25" t="s">
        <v>89</v>
      </c>
    </row>
    <row r="26" spans="1:8" x14ac:dyDescent="0.3">
      <c r="A26" t="s">
        <v>137</v>
      </c>
      <c r="B26" t="s">
        <v>158</v>
      </c>
      <c r="C26" t="s">
        <v>216</v>
      </c>
      <c r="D26" t="s">
        <v>41</v>
      </c>
      <c r="E26" t="s">
        <v>160</v>
      </c>
      <c r="F26">
        <v>2</v>
      </c>
      <c r="G26" t="s">
        <v>18</v>
      </c>
      <c r="H26" t="s">
        <v>16</v>
      </c>
    </row>
    <row r="27" spans="1:8" x14ac:dyDescent="0.3">
      <c r="A27" t="s">
        <v>147</v>
      </c>
      <c r="B27" t="s">
        <v>217</v>
      </c>
      <c r="C27" t="s">
        <v>218</v>
      </c>
      <c r="D27" t="s">
        <v>41</v>
      </c>
      <c r="E27" t="s">
        <v>160</v>
      </c>
      <c r="F27">
        <v>2</v>
      </c>
      <c r="G27" t="s">
        <v>18</v>
      </c>
      <c r="H27" t="s">
        <v>89</v>
      </c>
    </row>
    <row r="28" spans="1:8" x14ac:dyDescent="0.3">
      <c r="A28" t="s">
        <v>148</v>
      </c>
      <c r="B28" t="s">
        <v>219</v>
      </c>
      <c r="C28" t="s">
        <v>220</v>
      </c>
      <c r="D28" t="s">
        <v>41</v>
      </c>
      <c r="E28" t="s">
        <v>160</v>
      </c>
      <c r="F28">
        <v>2</v>
      </c>
      <c r="G28" t="s">
        <v>18</v>
      </c>
      <c r="H28" t="s">
        <v>89</v>
      </c>
    </row>
    <row r="29" spans="1:8" x14ac:dyDescent="0.3">
      <c r="A29" t="s">
        <v>149</v>
      </c>
      <c r="B29" t="s">
        <v>221</v>
      </c>
      <c r="C29" t="s">
        <v>222</v>
      </c>
      <c r="D29" t="s">
        <v>169</v>
      </c>
      <c r="E29" t="s">
        <v>169</v>
      </c>
      <c r="F29" t="s">
        <v>169</v>
      </c>
      <c r="G29" t="s">
        <v>169</v>
      </c>
      <c r="H29" t="s">
        <v>89</v>
      </c>
    </row>
    <row r="30" spans="1:8" x14ac:dyDescent="0.3">
      <c r="A30" t="s">
        <v>138</v>
      </c>
      <c r="B30" t="s">
        <v>223</v>
      </c>
      <c r="C30" t="s">
        <v>224</v>
      </c>
      <c r="D30" t="s">
        <v>225</v>
      </c>
      <c r="E30" t="s">
        <v>80</v>
      </c>
      <c r="F30" t="s">
        <v>226</v>
      </c>
      <c r="G30" t="s">
        <v>80</v>
      </c>
      <c r="H30" t="s">
        <v>16</v>
      </c>
    </row>
    <row r="31" spans="1:8" x14ac:dyDescent="0.3">
      <c r="A31" t="s">
        <v>139</v>
      </c>
      <c r="B31" t="s">
        <v>227</v>
      </c>
      <c r="C31" t="s">
        <v>228</v>
      </c>
      <c r="D31" t="s">
        <v>229</v>
      </c>
      <c r="E31" t="s">
        <v>80</v>
      </c>
      <c r="F31" t="s">
        <v>226</v>
      </c>
      <c r="G31" t="s">
        <v>80</v>
      </c>
      <c r="H31" t="s">
        <v>16</v>
      </c>
    </row>
    <row r="32" spans="1:8" x14ac:dyDescent="0.3">
      <c r="A32" t="s">
        <v>140</v>
      </c>
      <c r="B32" t="s">
        <v>230</v>
      </c>
      <c r="C32" t="s">
        <v>231</v>
      </c>
      <c r="D32" t="s">
        <v>232</v>
      </c>
      <c r="E32" t="s">
        <v>233</v>
      </c>
      <c r="F32" t="s">
        <v>234</v>
      </c>
      <c r="G32" t="s">
        <v>233</v>
      </c>
      <c r="H32" t="s">
        <v>16</v>
      </c>
    </row>
    <row r="33" spans="1:8" x14ac:dyDescent="0.3">
      <c r="A33" t="s">
        <v>141</v>
      </c>
      <c r="B33" t="s">
        <v>235</v>
      </c>
      <c r="C33" t="s">
        <v>236</v>
      </c>
      <c r="D33" t="s">
        <v>41</v>
      </c>
      <c r="E33" t="s">
        <v>160</v>
      </c>
      <c r="F33">
        <v>2</v>
      </c>
      <c r="G33" t="s">
        <v>18</v>
      </c>
      <c r="H33" t="s">
        <v>89</v>
      </c>
    </row>
    <row r="34" spans="1:8" x14ac:dyDescent="0.3">
      <c r="A34" t="s">
        <v>142</v>
      </c>
      <c r="B34" t="s">
        <v>237</v>
      </c>
      <c r="C34" t="s">
        <v>238</v>
      </c>
      <c r="D34" t="s">
        <v>74</v>
      </c>
      <c r="E34" t="s">
        <v>160</v>
      </c>
      <c r="F34" t="s">
        <v>163</v>
      </c>
      <c r="G34" t="s">
        <v>18</v>
      </c>
      <c r="H34" t="s">
        <v>89</v>
      </c>
    </row>
    <row r="35" spans="1:8" x14ac:dyDescent="0.3">
      <c r="A35" t="s">
        <v>143</v>
      </c>
      <c r="B35" t="s">
        <v>239</v>
      </c>
      <c r="C35" t="s">
        <v>240</v>
      </c>
      <c r="D35" t="s">
        <v>72</v>
      </c>
      <c r="E35" t="s">
        <v>180</v>
      </c>
      <c r="F35" t="s">
        <v>163</v>
      </c>
      <c r="G35" t="s">
        <v>18</v>
      </c>
      <c r="H35" t="s">
        <v>89</v>
      </c>
    </row>
    <row r="36" spans="1:8" x14ac:dyDescent="0.3">
      <c r="A36" t="s">
        <v>144</v>
      </c>
      <c r="B36" t="s">
        <v>241</v>
      </c>
      <c r="C36" t="s">
        <v>242</v>
      </c>
      <c r="D36" t="s">
        <v>78</v>
      </c>
      <c r="E36" t="s">
        <v>160</v>
      </c>
      <c r="F36">
        <v>2</v>
      </c>
      <c r="G36" t="s">
        <v>18</v>
      </c>
      <c r="H36" t="s">
        <v>89</v>
      </c>
    </row>
    <row r="37" spans="1:8" x14ac:dyDescent="0.3">
      <c r="A37" t="s">
        <v>145</v>
      </c>
      <c r="B37" t="s">
        <v>243</v>
      </c>
      <c r="C37" t="s">
        <v>244</v>
      </c>
      <c r="D37" t="s">
        <v>41</v>
      </c>
      <c r="E37" t="s">
        <v>160</v>
      </c>
      <c r="F37">
        <v>2</v>
      </c>
      <c r="G37" t="s">
        <v>18</v>
      </c>
      <c r="H37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2B78-11EA-4E4B-91BA-42C7FF311C6D}">
  <dimension ref="A1:T28"/>
  <sheetViews>
    <sheetView zoomScale="70" zoomScaleNormal="70" workbookViewId="0">
      <pane xSplit="5" ySplit="2" topLeftCell="I3" activePane="bottomRight" state="frozen"/>
      <selection pane="topRight" activeCell="F1" sqref="F1"/>
      <selection pane="bottomLeft" activeCell="A3" sqref="A3"/>
      <selection pane="bottomRight" activeCell="J7" sqref="J7"/>
    </sheetView>
  </sheetViews>
  <sheetFormatPr defaultRowHeight="13.2" x14ac:dyDescent="0.25"/>
  <cols>
    <col min="1" max="1" width="8.88671875" style="56"/>
    <col min="2" max="2" width="32.77734375" style="57" customWidth="1"/>
    <col min="3" max="3" width="13.77734375" style="57" customWidth="1"/>
    <col min="4" max="4" width="16.44140625" style="57" customWidth="1"/>
    <col min="5" max="5" width="14.88671875" style="57" customWidth="1"/>
    <col min="6" max="6" width="22.44140625" style="58" customWidth="1"/>
    <col min="7" max="7" width="20.21875" style="57" customWidth="1"/>
    <col min="8" max="9" width="17.109375" style="57" customWidth="1"/>
    <col min="10" max="12" width="22.88671875" style="57" customWidth="1"/>
    <col min="13" max="19" width="20.109375" style="57" customWidth="1"/>
    <col min="20" max="20" width="24.21875" style="57" customWidth="1"/>
    <col min="21" max="16384" width="8.88671875" style="56"/>
  </cols>
  <sheetData>
    <row r="1" spans="1:20" ht="14.4" customHeight="1" x14ac:dyDescent="0.25">
      <c r="I1" s="184" t="s">
        <v>245</v>
      </c>
      <c r="J1" s="184"/>
      <c r="K1" s="184"/>
      <c r="L1" s="184"/>
      <c r="M1" s="185"/>
      <c r="N1" s="156"/>
      <c r="O1" s="181" t="s">
        <v>730</v>
      </c>
      <c r="P1" s="182"/>
      <c r="Q1" s="183"/>
      <c r="R1" s="163"/>
      <c r="S1" s="179" t="s">
        <v>726</v>
      </c>
      <c r="T1" s="180"/>
    </row>
    <row r="2" spans="1:20" s="58" customFormat="1" ht="37.799999999999997" customHeight="1" x14ac:dyDescent="0.3">
      <c r="A2" s="59" t="s">
        <v>246</v>
      </c>
      <c r="B2" s="60" t="s">
        <v>3</v>
      </c>
      <c r="C2" s="60" t="s">
        <v>247</v>
      </c>
      <c r="D2" s="59" t="s">
        <v>5</v>
      </c>
      <c r="E2" s="59" t="s">
        <v>6</v>
      </c>
      <c r="F2" s="59" t="s">
        <v>248</v>
      </c>
      <c r="G2" s="59" t="s">
        <v>249</v>
      </c>
      <c r="H2" s="59" t="s">
        <v>250</v>
      </c>
      <c r="I2" s="59" t="s">
        <v>732</v>
      </c>
      <c r="J2" s="60" t="s">
        <v>251</v>
      </c>
      <c r="K2" s="60" t="s">
        <v>729</v>
      </c>
      <c r="L2" s="60" t="s">
        <v>252</v>
      </c>
      <c r="M2" s="60" t="s">
        <v>253</v>
      </c>
      <c r="N2" s="60" t="s">
        <v>732</v>
      </c>
      <c r="O2" s="60" t="s">
        <v>251</v>
      </c>
      <c r="P2" s="60" t="s">
        <v>253</v>
      </c>
      <c r="Q2" s="60" t="s">
        <v>769</v>
      </c>
      <c r="R2" s="60" t="s">
        <v>103</v>
      </c>
      <c r="S2" s="60" t="s">
        <v>253</v>
      </c>
      <c r="T2" s="60"/>
    </row>
    <row r="3" spans="1:20" s="57" customFormat="1" ht="23.4" customHeight="1" x14ac:dyDescent="0.3">
      <c r="A3" s="150">
        <v>1</v>
      </c>
      <c r="B3" s="150" t="s">
        <v>255</v>
      </c>
      <c r="C3" s="150"/>
      <c r="D3" s="150" t="s">
        <v>256</v>
      </c>
      <c r="E3" s="150" t="s">
        <v>256</v>
      </c>
      <c r="F3" s="151" t="s">
        <v>257</v>
      </c>
      <c r="G3" s="152" t="s">
        <v>258</v>
      </c>
      <c r="H3" s="152" t="s">
        <v>259</v>
      </c>
      <c r="I3" s="152"/>
      <c r="J3" s="153" t="s">
        <v>260</v>
      </c>
      <c r="K3" s="172"/>
      <c r="L3" s="173" t="s">
        <v>261</v>
      </c>
      <c r="M3" s="174">
        <v>1</v>
      </c>
      <c r="N3" s="175" t="s">
        <v>733</v>
      </c>
      <c r="O3" s="176" t="s">
        <v>772</v>
      </c>
      <c r="P3" s="174">
        <v>1</v>
      </c>
      <c r="Q3" s="159"/>
      <c r="R3" s="150"/>
      <c r="S3" s="150"/>
      <c r="T3" s="150"/>
    </row>
    <row r="4" spans="1:20" s="57" customFormat="1" ht="23.4" customHeight="1" x14ac:dyDescent="0.3">
      <c r="A4" s="61">
        <v>2</v>
      </c>
      <c r="B4" s="60" t="s">
        <v>58</v>
      </c>
      <c r="C4" s="60"/>
      <c r="D4" s="61" t="s">
        <v>263</v>
      </c>
      <c r="E4" s="66" t="s">
        <v>264</v>
      </c>
      <c r="F4" s="62" t="s">
        <v>265</v>
      </c>
      <c r="G4" s="63" t="s">
        <v>266</v>
      </c>
      <c r="H4" s="63" t="s">
        <v>267</v>
      </c>
      <c r="I4" s="63"/>
      <c r="J4" s="60" t="s">
        <v>268</v>
      </c>
      <c r="K4" s="154"/>
      <c r="L4" s="60" t="s">
        <v>269</v>
      </c>
      <c r="M4" s="60">
        <v>1</v>
      </c>
      <c r="N4" s="60" t="s">
        <v>733</v>
      </c>
      <c r="O4" s="60" t="s">
        <v>768</v>
      </c>
      <c r="P4" s="60">
        <v>1</v>
      </c>
      <c r="Q4" s="154"/>
      <c r="R4" s="60"/>
      <c r="S4" s="60"/>
      <c r="T4" s="171" t="s">
        <v>727</v>
      </c>
    </row>
    <row r="5" spans="1:20" s="57" customFormat="1" ht="23.4" customHeight="1" x14ac:dyDescent="0.3">
      <c r="A5" s="61">
        <v>3</v>
      </c>
      <c r="B5" s="60" t="s">
        <v>23</v>
      </c>
      <c r="C5" s="60" t="s">
        <v>270</v>
      </c>
      <c r="D5" s="61" t="s">
        <v>263</v>
      </c>
      <c r="E5" s="66" t="s">
        <v>264</v>
      </c>
      <c r="F5" s="62" t="s">
        <v>271</v>
      </c>
      <c r="G5" s="63" t="s">
        <v>272</v>
      </c>
      <c r="H5" s="63" t="s">
        <v>273</v>
      </c>
      <c r="I5" s="63"/>
      <c r="J5" s="60" t="s">
        <v>274</v>
      </c>
      <c r="K5" s="154"/>
      <c r="L5" s="60" t="s">
        <v>275</v>
      </c>
      <c r="M5" s="60">
        <v>1</v>
      </c>
      <c r="N5" s="60" t="s">
        <v>733</v>
      </c>
      <c r="O5" s="60" t="s">
        <v>770</v>
      </c>
      <c r="P5" s="60">
        <v>1</v>
      </c>
      <c r="Q5" s="154"/>
      <c r="R5" s="60"/>
      <c r="S5" s="60"/>
      <c r="T5" s="60"/>
    </row>
    <row r="6" spans="1:20" s="57" customFormat="1" ht="23.4" customHeight="1" x14ac:dyDescent="0.3">
      <c r="A6" s="61">
        <v>4</v>
      </c>
      <c r="B6" s="60" t="s">
        <v>55</v>
      </c>
      <c r="C6" s="60"/>
      <c r="D6" s="61" t="s">
        <v>276</v>
      </c>
      <c r="E6" s="61" t="s">
        <v>277</v>
      </c>
      <c r="F6" s="63" t="s">
        <v>278</v>
      </c>
      <c r="G6" s="63" t="s">
        <v>279</v>
      </c>
      <c r="H6" s="63" t="s">
        <v>280</v>
      </c>
      <c r="I6" s="63"/>
      <c r="J6" s="60" t="s">
        <v>281</v>
      </c>
      <c r="K6" s="154"/>
      <c r="L6" s="60" t="s">
        <v>282</v>
      </c>
      <c r="M6" s="67" t="s">
        <v>283</v>
      </c>
      <c r="N6" s="60" t="s">
        <v>733</v>
      </c>
      <c r="O6" s="158" t="s">
        <v>771</v>
      </c>
      <c r="P6" s="60">
        <v>1</v>
      </c>
      <c r="Q6" s="155"/>
      <c r="R6" s="67"/>
      <c r="S6" s="67"/>
      <c r="T6" s="67"/>
    </row>
    <row r="7" spans="1:20" s="57" customFormat="1" ht="23.4" customHeight="1" x14ac:dyDescent="0.3">
      <c r="A7" s="61">
        <v>5</v>
      </c>
      <c r="B7" s="60" t="s">
        <v>28</v>
      </c>
      <c r="C7" s="60"/>
      <c r="D7" s="61" t="s">
        <v>263</v>
      </c>
      <c r="E7" s="66" t="s">
        <v>29</v>
      </c>
      <c r="F7" s="62" t="s">
        <v>284</v>
      </c>
      <c r="G7" s="63" t="s">
        <v>285</v>
      </c>
      <c r="H7" s="63" t="s">
        <v>286</v>
      </c>
      <c r="I7" s="63"/>
      <c r="J7" s="60" t="s">
        <v>287</v>
      </c>
      <c r="K7" s="154"/>
      <c r="L7" s="60" t="s">
        <v>288</v>
      </c>
      <c r="M7" s="67" t="s">
        <v>289</v>
      </c>
      <c r="N7" s="60" t="s">
        <v>733</v>
      </c>
      <c r="O7" s="73" t="s">
        <v>731</v>
      </c>
      <c r="P7" s="60">
        <v>1</v>
      </c>
      <c r="Q7" s="155"/>
      <c r="R7" s="164"/>
      <c r="S7" s="60">
        <v>1</v>
      </c>
      <c r="T7" s="67"/>
    </row>
    <row r="8" spans="1:20" s="57" customFormat="1" ht="23.4" customHeight="1" x14ac:dyDescent="0.3">
      <c r="A8" s="61">
        <v>6</v>
      </c>
      <c r="B8" s="60" t="s">
        <v>116</v>
      </c>
      <c r="C8" s="60"/>
      <c r="D8" s="61" t="s">
        <v>276</v>
      </c>
      <c r="E8" s="66" t="s">
        <v>53</v>
      </c>
      <c r="F8" s="62" t="s">
        <v>290</v>
      </c>
      <c r="G8" s="63" t="s">
        <v>291</v>
      </c>
      <c r="H8" s="63" t="s">
        <v>292</v>
      </c>
      <c r="I8" s="63"/>
      <c r="J8" s="60" t="s">
        <v>293</v>
      </c>
      <c r="K8" s="154"/>
      <c r="L8" s="60" t="s">
        <v>294</v>
      </c>
      <c r="M8" s="67" t="s">
        <v>734</v>
      </c>
      <c r="N8" s="60" t="s">
        <v>733</v>
      </c>
      <c r="O8" s="158" t="s">
        <v>736</v>
      </c>
      <c r="P8" s="67" t="s">
        <v>735</v>
      </c>
      <c r="Q8" s="155"/>
      <c r="R8" s="164"/>
      <c r="S8" s="60">
        <v>1</v>
      </c>
      <c r="T8" s="67"/>
    </row>
    <row r="9" spans="1:20" ht="23.4" customHeight="1" x14ac:dyDescent="0.3">
      <c r="A9" s="61">
        <v>7</v>
      </c>
      <c r="B9" s="60" t="s">
        <v>65</v>
      </c>
      <c r="C9" s="60"/>
      <c r="D9" s="61" t="s">
        <v>296</v>
      </c>
      <c r="E9" s="66" t="s">
        <v>41</v>
      </c>
      <c r="F9" s="62" t="s">
        <v>297</v>
      </c>
      <c r="G9" s="63" t="s">
        <v>298</v>
      </c>
      <c r="H9" s="63" t="s">
        <v>299</v>
      </c>
      <c r="I9" s="63"/>
      <c r="J9" s="60" t="s">
        <v>300</v>
      </c>
      <c r="K9" s="154"/>
      <c r="L9" s="60" t="s">
        <v>301</v>
      </c>
      <c r="M9" s="61">
        <v>1</v>
      </c>
      <c r="N9" s="60" t="s">
        <v>733</v>
      </c>
      <c r="O9" s="157" t="s">
        <v>737</v>
      </c>
      <c r="P9" s="61">
        <v>1</v>
      </c>
      <c r="Q9" s="159"/>
      <c r="R9" s="165"/>
      <c r="S9" s="61"/>
      <c r="T9" s="61"/>
    </row>
    <row r="10" spans="1:20" ht="23.4" customHeight="1" x14ac:dyDescent="0.3">
      <c r="A10" s="61">
        <v>8</v>
      </c>
      <c r="B10" s="60" t="s">
        <v>302</v>
      </c>
      <c r="C10" s="60" t="s">
        <v>303</v>
      </c>
      <c r="D10" s="61" t="s">
        <v>296</v>
      </c>
      <c r="E10" s="66" t="s">
        <v>41</v>
      </c>
      <c r="F10" s="62" t="s">
        <v>304</v>
      </c>
      <c r="G10" s="63" t="s">
        <v>305</v>
      </c>
      <c r="H10" s="63" t="s">
        <v>306</v>
      </c>
      <c r="I10" s="162" t="s">
        <v>740</v>
      </c>
      <c r="J10" s="160" t="s">
        <v>738</v>
      </c>
      <c r="K10" s="154"/>
      <c r="L10" s="60" t="s">
        <v>262</v>
      </c>
      <c r="M10" s="60" t="s">
        <v>741</v>
      </c>
      <c r="N10" s="60" t="s">
        <v>733</v>
      </c>
      <c r="O10" s="158" t="s">
        <v>742</v>
      </c>
      <c r="P10" s="60" t="s">
        <v>743</v>
      </c>
      <c r="Q10" s="154"/>
      <c r="R10" s="167" t="s">
        <v>745</v>
      </c>
      <c r="S10" s="60" t="s">
        <v>262</v>
      </c>
      <c r="T10" s="60"/>
    </row>
    <row r="11" spans="1:20" ht="23.4" customHeight="1" x14ac:dyDescent="0.3">
      <c r="A11" s="61">
        <v>9</v>
      </c>
      <c r="B11" s="60" t="s">
        <v>307</v>
      </c>
      <c r="C11" s="60" t="s">
        <v>308</v>
      </c>
      <c r="D11" s="61" t="s">
        <v>296</v>
      </c>
      <c r="E11" s="66" t="s">
        <v>41</v>
      </c>
      <c r="F11" s="62" t="s">
        <v>309</v>
      </c>
      <c r="G11" s="63" t="s">
        <v>310</v>
      </c>
      <c r="H11" s="63" t="s">
        <v>311</v>
      </c>
      <c r="I11" s="63"/>
      <c r="J11" s="168" t="s">
        <v>746</v>
      </c>
      <c r="K11" s="159"/>
      <c r="L11" s="61" t="s">
        <v>262</v>
      </c>
      <c r="M11" s="61" t="s">
        <v>262</v>
      </c>
      <c r="N11" s="60" t="s">
        <v>733</v>
      </c>
      <c r="O11" s="157" t="s">
        <v>744</v>
      </c>
      <c r="P11" s="61" t="s">
        <v>749</v>
      </c>
      <c r="Q11" s="159"/>
      <c r="R11" s="166" t="s">
        <v>745</v>
      </c>
      <c r="S11" s="61">
        <v>1</v>
      </c>
      <c r="T11" s="61"/>
    </row>
    <row r="12" spans="1:20" ht="23.4" customHeight="1" x14ac:dyDescent="0.3">
      <c r="A12" s="61">
        <v>10</v>
      </c>
      <c r="B12" s="60" t="s">
        <v>133</v>
      </c>
      <c r="C12" s="60"/>
      <c r="D12" s="61" t="s">
        <v>296</v>
      </c>
      <c r="E12" s="66" t="s">
        <v>41</v>
      </c>
      <c r="F12" s="62" t="s">
        <v>312</v>
      </c>
      <c r="G12" s="63" t="s">
        <v>313</v>
      </c>
      <c r="H12" s="63" t="s">
        <v>314</v>
      </c>
      <c r="I12" s="63"/>
      <c r="J12" s="60" t="s">
        <v>315</v>
      </c>
      <c r="K12" s="154"/>
      <c r="L12" s="60" t="s">
        <v>316</v>
      </c>
      <c r="M12" s="60">
        <v>1</v>
      </c>
      <c r="N12" s="60" t="s">
        <v>733</v>
      </c>
      <c r="O12" s="158" t="s">
        <v>747</v>
      </c>
      <c r="P12" s="60">
        <v>1</v>
      </c>
      <c r="Q12" s="154"/>
      <c r="R12" s="60"/>
      <c r="S12" s="60"/>
      <c r="T12" s="60"/>
    </row>
    <row r="13" spans="1:20" ht="23.4" customHeight="1" x14ac:dyDescent="0.3">
      <c r="A13" s="61">
        <v>11</v>
      </c>
      <c r="B13" s="60" t="s">
        <v>317</v>
      </c>
      <c r="C13" s="60" t="s">
        <v>318</v>
      </c>
      <c r="D13" s="61" t="s">
        <v>263</v>
      </c>
      <c r="E13" s="66" t="s">
        <v>264</v>
      </c>
      <c r="F13" s="62" t="s">
        <v>319</v>
      </c>
      <c r="G13" s="63" t="s">
        <v>320</v>
      </c>
      <c r="H13" s="63" t="s">
        <v>321</v>
      </c>
      <c r="I13" s="63"/>
      <c r="J13" s="60" t="s">
        <v>322</v>
      </c>
      <c r="K13" s="154"/>
      <c r="L13" s="60" t="s">
        <v>323</v>
      </c>
      <c r="M13" s="60">
        <v>1</v>
      </c>
      <c r="N13" s="60" t="s">
        <v>733</v>
      </c>
      <c r="O13" s="60" t="s">
        <v>748</v>
      </c>
      <c r="P13" s="60">
        <v>1</v>
      </c>
      <c r="Q13" s="154"/>
      <c r="R13" s="60"/>
      <c r="S13" s="60"/>
      <c r="T13" s="60"/>
    </row>
    <row r="14" spans="1:20" ht="23.4" customHeight="1" x14ac:dyDescent="0.3">
      <c r="A14" s="61">
        <v>12</v>
      </c>
      <c r="B14" s="60" t="s">
        <v>71</v>
      </c>
      <c r="C14" s="60"/>
      <c r="D14" s="61" t="s">
        <v>276</v>
      </c>
      <c r="E14" s="66" t="s">
        <v>72</v>
      </c>
      <c r="F14" s="62" t="s">
        <v>324</v>
      </c>
      <c r="G14" s="63" t="s">
        <v>325</v>
      </c>
      <c r="H14" s="63" t="s">
        <v>326</v>
      </c>
      <c r="I14" s="63"/>
      <c r="J14" s="60" t="s">
        <v>327</v>
      </c>
      <c r="K14" s="154"/>
      <c r="L14" s="60" t="s">
        <v>328</v>
      </c>
      <c r="M14" s="67" t="s">
        <v>329</v>
      </c>
      <c r="N14" s="60" t="s">
        <v>733</v>
      </c>
      <c r="O14" s="60" t="s">
        <v>750</v>
      </c>
      <c r="P14" s="60">
        <v>1</v>
      </c>
      <c r="Q14" s="155"/>
      <c r="R14" s="67"/>
      <c r="S14" s="67"/>
      <c r="T14" s="67"/>
    </row>
    <row r="15" spans="1:20" ht="23.4" customHeight="1" x14ac:dyDescent="0.3">
      <c r="A15" s="61">
        <v>13</v>
      </c>
      <c r="B15" s="60" t="s">
        <v>330</v>
      </c>
      <c r="C15" s="60"/>
      <c r="D15" s="61" t="s">
        <v>263</v>
      </c>
      <c r="E15" s="61" t="s">
        <v>62</v>
      </c>
      <c r="F15" s="62" t="s">
        <v>331</v>
      </c>
      <c r="G15" s="63" t="s">
        <v>332</v>
      </c>
      <c r="H15" s="63" t="s">
        <v>333</v>
      </c>
      <c r="I15" s="63"/>
      <c r="J15" s="60" t="s">
        <v>334</v>
      </c>
      <c r="K15" s="154"/>
      <c r="L15" s="60" t="s">
        <v>294</v>
      </c>
      <c r="M15" s="67" t="s">
        <v>335</v>
      </c>
      <c r="N15" s="60" t="s">
        <v>752</v>
      </c>
      <c r="O15" s="60" t="s">
        <v>753</v>
      </c>
      <c r="P15" s="67" t="s">
        <v>751</v>
      </c>
      <c r="Q15" s="155"/>
      <c r="R15" s="67"/>
      <c r="S15" s="67"/>
      <c r="T15" s="67"/>
    </row>
    <row r="16" spans="1:20" ht="23.4" customHeight="1" x14ac:dyDescent="0.3">
      <c r="A16" s="61">
        <v>14</v>
      </c>
      <c r="B16" s="60" t="s">
        <v>85</v>
      </c>
      <c r="C16" s="60"/>
      <c r="D16" s="61" t="s">
        <v>296</v>
      </c>
      <c r="E16" s="66" t="s">
        <v>41</v>
      </c>
      <c r="F16" s="62" t="s">
        <v>336</v>
      </c>
      <c r="G16" s="63" t="s">
        <v>337</v>
      </c>
      <c r="H16" s="63" t="s">
        <v>338</v>
      </c>
      <c r="I16" s="63"/>
      <c r="J16" s="60" t="s">
        <v>262</v>
      </c>
      <c r="K16" s="60"/>
      <c r="L16" s="60" t="s">
        <v>262</v>
      </c>
      <c r="M16" s="60" t="s">
        <v>262</v>
      </c>
      <c r="N16" s="60" t="s">
        <v>733</v>
      </c>
      <c r="O16" s="60" t="s">
        <v>754</v>
      </c>
      <c r="P16" s="60">
        <v>1</v>
      </c>
      <c r="Q16" s="154"/>
      <c r="R16" s="60"/>
      <c r="S16" s="67" t="s">
        <v>728</v>
      </c>
      <c r="T16" s="60"/>
    </row>
    <row r="17" spans="1:20" ht="23.4" customHeight="1" x14ac:dyDescent="0.3">
      <c r="A17" s="61">
        <v>15</v>
      </c>
      <c r="B17" s="60" t="s">
        <v>339</v>
      </c>
      <c r="C17" s="60"/>
      <c r="D17" s="61" t="s">
        <v>263</v>
      </c>
      <c r="E17" s="66" t="s">
        <v>32</v>
      </c>
      <c r="F17" s="62" t="s">
        <v>340</v>
      </c>
      <c r="G17" s="63" t="s">
        <v>341</v>
      </c>
      <c r="H17" s="63" t="s">
        <v>341</v>
      </c>
      <c r="I17" s="63"/>
      <c r="J17" s="60" t="s">
        <v>342</v>
      </c>
      <c r="K17" s="154"/>
      <c r="L17" s="60" t="s">
        <v>294</v>
      </c>
      <c r="M17" s="67" t="s">
        <v>438</v>
      </c>
      <c r="N17" s="60" t="s">
        <v>733</v>
      </c>
      <c r="O17" s="60" t="s">
        <v>755</v>
      </c>
      <c r="P17" s="60">
        <v>1</v>
      </c>
      <c r="Q17" s="154"/>
      <c r="R17" s="67"/>
      <c r="S17" s="60">
        <v>1</v>
      </c>
      <c r="T17" s="67"/>
    </row>
    <row r="18" spans="1:20" ht="23.4" customHeight="1" x14ac:dyDescent="0.3">
      <c r="A18" s="61">
        <v>16</v>
      </c>
      <c r="B18" s="60" t="s">
        <v>44</v>
      </c>
      <c r="C18" s="60"/>
      <c r="D18" s="61" t="s">
        <v>344</v>
      </c>
      <c r="E18" s="64" t="s">
        <v>46</v>
      </c>
      <c r="F18" s="62" t="s">
        <v>345</v>
      </c>
      <c r="G18" s="63" t="s">
        <v>346</v>
      </c>
      <c r="H18" s="63" t="s">
        <v>347</v>
      </c>
      <c r="I18" s="63"/>
      <c r="J18" s="60" t="s">
        <v>341</v>
      </c>
      <c r="K18" s="154"/>
      <c r="L18" s="60" t="s">
        <v>262</v>
      </c>
      <c r="M18" s="60">
        <v>1</v>
      </c>
      <c r="N18" s="60" t="s">
        <v>733</v>
      </c>
      <c r="O18" s="60" t="s">
        <v>756</v>
      </c>
      <c r="P18" s="60">
        <v>1</v>
      </c>
      <c r="Q18" s="169"/>
      <c r="R18" s="60"/>
      <c r="S18" s="60"/>
      <c r="T18" s="60"/>
    </row>
    <row r="19" spans="1:20" ht="23.4" customHeight="1" x14ac:dyDescent="0.3">
      <c r="A19" s="61">
        <v>17</v>
      </c>
      <c r="B19" s="60" t="s">
        <v>88</v>
      </c>
      <c r="C19" s="60"/>
      <c r="D19" s="61" t="s">
        <v>296</v>
      </c>
      <c r="E19" s="66" t="s">
        <v>41</v>
      </c>
      <c r="F19" s="62" t="s">
        <v>348</v>
      </c>
      <c r="G19" s="63" t="s">
        <v>349</v>
      </c>
      <c r="H19" s="63" t="s">
        <v>350</v>
      </c>
      <c r="I19" s="63"/>
      <c r="J19" s="160" t="s">
        <v>757</v>
      </c>
      <c r="K19" s="154"/>
      <c r="L19" s="60" t="s">
        <v>262</v>
      </c>
      <c r="M19" s="60" t="s">
        <v>262</v>
      </c>
      <c r="N19" s="60" t="s">
        <v>733</v>
      </c>
      <c r="O19" s="60" t="s">
        <v>758</v>
      </c>
      <c r="P19" s="60">
        <v>1</v>
      </c>
      <c r="Q19" s="154"/>
      <c r="R19" s="60"/>
      <c r="S19" s="60">
        <v>1</v>
      </c>
      <c r="T19" s="60"/>
    </row>
    <row r="20" spans="1:20" ht="23.4" customHeight="1" x14ac:dyDescent="0.3">
      <c r="A20" s="61">
        <v>18</v>
      </c>
      <c r="B20" s="60" t="s">
        <v>73</v>
      </c>
      <c r="C20" s="60"/>
      <c r="D20" s="61" t="s">
        <v>276</v>
      </c>
      <c r="E20" s="66" t="s">
        <v>74</v>
      </c>
      <c r="F20" s="62" t="s">
        <v>351</v>
      </c>
      <c r="G20" s="63" t="s">
        <v>352</v>
      </c>
      <c r="H20" s="63" t="s">
        <v>353</v>
      </c>
      <c r="I20" s="63"/>
      <c r="J20" s="60" t="s">
        <v>354</v>
      </c>
      <c r="K20" s="154"/>
      <c r="L20" s="60" t="s">
        <v>294</v>
      </c>
      <c r="M20" s="60">
        <v>1</v>
      </c>
      <c r="N20" s="60" t="s">
        <v>733</v>
      </c>
      <c r="O20" s="60" t="s">
        <v>759</v>
      </c>
      <c r="P20" s="60">
        <v>1</v>
      </c>
      <c r="Q20" s="154"/>
      <c r="R20" s="60"/>
      <c r="S20" s="60"/>
      <c r="T20" s="60"/>
    </row>
    <row r="21" spans="1:20" ht="23.4" customHeight="1" x14ac:dyDescent="0.3">
      <c r="A21" s="61">
        <v>19</v>
      </c>
      <c r="B21" s="60" t="s">
        <v>77</v>
      </c>
      <c r="C21" s="60"/>
      <c r="D21" s="61" t="s">
        <v>296</v>
      </c>
      <c r="E21" s="66" t="s">
        <v>78</v>
      </c>
      <c r="F21" s="62" t="s">
        <v>355</v>
      </c>
      <c r="G21" s="63" t="s">
        <v>356</v>
      </c>
      <c r="H21" s="63" t="s">
        <v>357</v>
      </c>
      <c r="I21" s="63"/>
      <c r="J21" s="60" t="s">
        <v>358</v>
      </c>
      <c r="K21" s="154"/>
      <c r="L21" s="60" t="s">
        <v>294</v>
      </c>
      <c r="M21" s="60">
        <v>1</v>
      </c>
      <c r="N21" s="60" t="s">
        <v>733</v>
      </c>
      <c r="O21" s="60" t="s">
        <v>760</v>
      </c>
      <c r="P21" s="60">
        <v>1</v>
      </c>
      <c r="Q21" s="154"/>
      <c r="R21" s="60"/>
      <c r="S21" s="60"/>
      <c r="T21" s="60"/>
    </row>
    <row r="22" spans="1:20" ht="23.4" customHeight="1" x14ac:dyDescent="0.3">
      <c r="A22" s="61">
        <v>20</v>
      </c>
      <c r="B22" s="60" t="s">
        <v>33</v>
      </c>
      <c r="C22" s="60"/>
      <c r="D22" s="61" t="s">
        <v>263</v>
      </c>
      <c r="E22" s="66" t="s">
        <v>34</v>
      </c>
      <c r="F22" s="62" t="s">
        <v>359</v>
      </c>
      <c r="G22" s="63" t="s">
        <v>360</v>
      </c>
      <c r="H22" s="63" t="s">
        <v>361</v>
      </c>
      <c r="I22" s="63"/>
      <c r="J22" s="60" t="s">
        <v>362</v>
      </c>
      <c r="K22" s="154"/>
      <c r="L22" s="60" t="s">
        <v>294</v>
      </c>
      <c r="M22" s="67" t="s">
        <v>363</v>
      </c>
      <c r="N22" s="60" t="s">
        <v>733</v>
      </c>
      <c r="O22" s="60" t="s">
        <v>761</v>
      </c>
      <c r="P22" s="67" t="s">
        <v>363</v>
      </c>
      <c r="Q22" s="154"/>
      <c r="R22" s="67"/>
      <c r="S22" s="60"/>
      <c r="T22" s="60"/>
    </row>
    <row r="23" spans="1:20" ht="23.4" customHeight="1" x14ac:dyDescent="0.3">
      <c r="A23" s="61">
        <v>21</v>
      </c>
      <c r="B23" s="60" t="s">
        <v>17</v>
      </c>
      <c r="C23" s="60"/>
      <c r="D23" s="61" t="s">
        <v>276</v>
      </c>
      <c r="E23" s="66" t="s">
        <v>20</v>
      </c>
      <c r="F23" s="62" t="s">
        <v>364</v>
      </c>
      <c r="G23" s="63" t="s">
        <v>365</v>
      </c>
      <c r="H23" s="63" t="s">
        <v>365</v>
      </c>
      <c r="I23" s="63"/>
      <c r="J23" s="60" t="s">
        <v>366</v>
      </c>
      <c r="K23" s="154"/>
      <c r="L23" s="60" t="s">
        <v>367</v>
      </c>
      <c r="M23" s="60">
        <v>1</v>
      </c>
      <c r="N23" s="60" t="s">
        <v>733</v>
      </c>
      <c r="O23" s="60" t="s">
        <v>764</v>
      </c>
      <c r="P23" s="67" t="s">
        <v>763</v>
      </c>
      <c r="Q23" s="154"/>
      <c r="R23" s="60"/>
      <c r="S23" s="60"/>
      <c r="T23" s="60"/>
    </row>
    <row r="24" spans="1:20" ht="23.4" customHeight="1" x14ac:dyDescent="0.3">
      <c r="A24" s="61">
        <v>22</v>
      </c>
      <c r="B24" s="60" t="s">
        <v>368</v>
      </c>
      <c r="C24" s="60"/>
      <c r="D24" s="61" t="s">
        <v>263</v>
      </c>
      <c r="E24" s="66" t="s">
        <v>37</v>
      </c>
      <c r="F24" s="62" t="s">
        <v>369</v>
      </c>
      <c r="G24" s="63" t="s">
        <v>370</v>
      </c>
      <c r="H24" s="63" t="s">
        <v>371</v>
      </c>
      <c r="I24" s="63"/>
      <c r="J24" s="60" t="s">
        <v>372</v>
      </c>
      <c r="K24" s="154"/>
      <c r="L24" s="60" t="s">
        <v>294</v>
      </c>
      <c r="M24" s="60">
        <v>1</v>
      </c>
      <c r="N24" s="60" t="s">
        <v>752</v>
      </c>
      <c r="O24" s="60" t="s">
        <v>762</v>
      </c>
      <c r="P24" s="60">
        <v>1</v>
      </c>
      <c r="Q24" s="154"/>
      <c r="R24" s="60"/>
      <c r="S24" s="60"/>
      <c r="T24" s="60"/>
    </row>
    <row r="25" spans="1:20" ht="23.4" customHeight="1" x14ac:dyDescent="0.3">
      <c r="A25" s="61">
        <v>23</v>
      </c>
      <c r="B25" s="60" t="s">
        <v>66</v>
      </c>
      <c r="C25" s="60"/>
      <c r="D25" s="61" t="s">
        <v>296</v>
      </c>
      <c r="E25" s="66" t="s">
        <v>41</v>
      </c>
      <c r="F25" s="62" t="s">
        <v>373</v>
      </c>
      <c r="G25" s="63" t="s">
        <v>374</v>
      </c>
      <c r="H25" s="63" t="s">
        <v>375</v>
      </c>
      <c r="I25" s="63"/>
      <c r="J25" s="170" t="s">
        <v>451</v>
      </c>
      <c r="K25" s="154"/>
      <c r="L25" s="60" t="s">
        <v>262</v>
      </c>
      <c r="M25" s="60" t="s">
        <v>262</v>
      </c>
      <c r="N25" s="60" t="s">
        <v>733</v>
      </c>
      <c r="O25" s="60" t="s">
        <v>765</v>
      </c>
      <c r="P25" s="60">
        <v>1</v>
      </c>
      <c r="Q25" s="154"/>
      <c r="R25" s="60"/>
      <c r="S25" s="60">
        <v>1</v>
      </c>
      <c r="T25" s="60"/>
    </row>
    <row r="26" spans="1:20" ht="23.4" customHeight="1" x14ac:dyDescent="0.3">
      <c r="A26" s="61">
        <v>24</v>
      </c>
      <c r="B26" s="60" t="s">
        <v>84</v>
      </c>
      <c r="C26" s="60"/>
      <c r="D26" s="61" t="s">
        <v>296</v>
      </c>
      <c r="E26" s="66" t="s">
        <v>41</v>
      </c>
      <c r="F26" s="62" t="s">
        <v>376</v>
      </c>
      <c r="G26" s="63" t="s">
        <v>377</v>
      </c>
      <c r="H26" s="63" t="s">
        <v>378</v>
      </c>
      <c r="I26" s="63"/>
      <c r="J26" s="60" t="s">
        <v>379</v>
      </c>
      <c r="K26" s="154"/>
      <c r="L26" s="60" t="s">
        <v>380</v>
      </c>
      <c r="M26" s="60">
        <v>1</v>
      </c>
      <c r="N26" s="60" t="s">
        <v>262</v>
      </c>
      <c r="O26" s="60" t="s">
        <v>262</v>
      </c>
      <c r="P26" s="60" t="s">
        <v>262</v>
      </c>
      <c r="Q26" s="60" t="s">
        <v>262</v>
      </c>
      <c r="R26" s="60"/>
      <c r="S26" s="60"/>
      <c r="T26" s="60"/>
    </row>
    <row r="27" spans="1:20" ht="23.4" customHeight="1" x14ac:dyDescent="0.3">
      <c r="A27" s="61">
        <v>25</v>
      </c>
      <c r="B27" s="60" t="s">
        <v>766</v>
      </c>
      <c r="C27" s="60"/>
      <c r="D27" s="61" t="s">
        <v>296</v>
      </c>
      <c r="E27" s="66" t="s">
        <v>68</v>
      </c>
      <c r="F27" s="62" t="s">
        <v>381</v>
      </c>
      <c r="G27" s="63" t="s">
        <v>382</v>
      </c>
      <c r="H27" s="63" t="s">
        <v>383</v>
      </c>
      <c r="I27" s="63"/>
      <c r="J27" s="60" t="s">
        <v>384</v>
      </c>
      <c r="K27" s="154"/>
      <c r="L27" s="60" t="s">
        <v>294</v>
      </c>
      <c r="M27" s="67" t="s">
        <v>385</v>
      </c>
      <c r="N27" s="60" t="s">
        <v>733</v>
      </c>
      <c r="O27" s="60" t="s">
        <v>767</v>
      </c>
      <c r="P27" s="60">
        <v>1</v>
      </c>
      <c r="Q27" s="155"/>
      <c r="R27" s="67"/>
      <c r="S27" s="67"/>
      <c r="T27" s="67"/>
    </row>
    <row r="28" spans="1:20" x14ac:dyDescent="0.25">
      <c r="J28" s="161" t="s">
        <v>739</v>
      </c>
    </row>
  </sheetData>
  <mergeCells count="3">
    <mergeCell ref="S1:T1"/>
    <mergeCell ref="O1:Q1"/>
    <mergeCell ref="I1:M1"/>
  </mergeCells>
  <hyperlinks>
    <hyperlink ref="F4" r:id="rId1" xr:uid="{AC5114CB-960F-4455-A403-DC84C7669984}"/>
    <hyperlink ref="F3" r:id="rId2" xr:uid="{20919EDF-D9F1-46C4-B0DE-9EF20345ADFC}"/>
    <hyperlink ref="F5" r:id="rId3" xr:uid="{C9FB6BB5-331D-4A7C-8E64-95664DEC087B}"/>
    <hyperlink ref="F6" r:id="rId4" xr:uid="{7D3A7438-2B9C-4ABB-95AE-93C98924D7D1}"/>
    <hyperlink ref="F7" r:id="rId5" xr:uid="{07BFCA32-02FB-4587-AE03-83F94F7BA05C}"/>
    <hyperlink ref="F8" r:id="rId6" xr:uid="{3E641E3B-D3D2-446C-BDAE-5E109712EDB9}"/>
    <hyperlink ref="F9" r:id="rId7" xr:uid="{E1507DC8-AB84-4D36-AD6A-FA01AE3B2426}"/>
    <hyperlink ref="F10" r:id="rId8" xr:uid="{09FB62D0-C930-47EC-BA3C-3B485CDF69FA}"/>
    <hyperlink ref="F11" r:id="rId9" xr:uid="{5AF7C79E-6B97-4CC8-B170-90A462C7FEA3}"/>
    <hyperlink ref="F12" r:id="rId10" xr:uid="{15890073-A8FA-4B01-8A02-1003F45615CE}"/>
    <hyperlink ref="F13" r:id="rId11" xr:uid="{567045B6-6FDD-43EB-AEAC-1039BAE4767B}"/>
    <hyperlink ref="F16" r:id="rId12" xr:uid="{02ACA3A2-1C20-4A6C-A9AF-DFA22BAA989F}"/>
    <hyperlink ref="F17" r:id="rId13" xr:uid="{2226495D-6D50-4E0E-8144-5B31A8801876}"/>
    <hyperlink ref="F18" r:id="rId14" xr:uid="{4C029AA4-86A3-421B-843B-496088F9CEEA}"/>
    <hyperlink ref="F19" r:id="rId15" xr:uid="{341A10B6-3A83-4533-A899-843FF5992C5B}"/>
    <hyperlink ref="F20" r:id="rId16" xr:uid="{4D2573AF-C718-438E-B153-9E26F510C63D}"/>
    <hyperlink ref="F22" r:id="rId17" xr:uid="{4A4EB0A6-F3AF-4765-B991-04FC6DE0EBAC}"/>
    <hyperlink ref="F23" r:id="rId18" xr:uid="{EA18DA25-5085-4F82-A892-8E0DB1E84C49}"/>
    <hyperlink ref="F24" r:id="rId19" xr:uid="{A3F8B58C-BC0A-4E06-9F56-113C4D5DA6C2}"/>
    <hyperlink ref="F25" r:id="rId20" xr:uid="{56419E82-21BD-4ABF-A56B-0C36B9A2D8CF}"/>
    <hyperlink ref="F26" r:id="rId21" xr:uid="{A9CE1005-3FC8-4976-BB73-D21B223DD8B2}"/>
    <hyperlink ref="F27" r:id="rId22" xr:uid="{1E2623CE-7854-4596-AB3D-82687C288A46}"/>
    <hyperlink ref="F15" r:id="rId23" xr:uid="{ACD10F1B-E662-4CC1-92E0-8F75C77DD6CB}"/>
    <hyperlink ref="F21" r:id="rId24" xr:uid="{3C9A44FC-276A-4E82-A09E-0A7F5667F6EC}"/>
    <hyperlink ref="F14" r:id="rId25" xr:uid="{11B6B494-794C-4386-AF4C-5399F11413FE}"/>
    <hyperlink ref="G4" r:id="rId26" xr:uid="{B3F7F204-38C2-4922-944C-C8D7A65EC594}"/>
    <hyperlink ref="G3" r:id="rId27" xr:uid="{4B2504B0-4D72-4F25-B999-C068EEC0461D}"/>
    <hyperlink ref="G6" r:id="rId28" xr:uid="{05FC4D2B-81B5-48A9-B218-DFEC30B552AF}"/>
    <hyperlink ref="G5" r:id="rId29" xr:uid="{39BD8DCB-32D8-4445-867B-1BFED409C5F9}"/>
    <hyperlink ref="G7" r:id="rId30" xr:uid="{D1CAE5ED-6A32-4C0C-AF3E-14DB74BC2D86}"/>
    <hyperlink ref="G8" r:id="rId31" xr:uid="{28236344-FD41-4A04-917B-FD6318E20D27}"/>
    <hyperlink ref="G9" r:id="rId32" xr:uid="{609A5A44-88DC-4632-A1BD-C04EF0A3AC82}"/>
    <hyperlink ref="G10" r:id="rId33" xr:uid="{81FB561C-1A03-477E-A0FF-9EDDF91C421D}"/>
    <hyperlink ref="G11" r:id="rId34" xr:uid="{94B77779-C108-4C19-BB54-2AEA2315592C}"/>
    <hyperlink ref="G12" r:id="rId35" xr:uid="{FC5871A1-7193-4E11-A1D5-24BA31A68D1A}"/>
    <hyperlink ref="G27" r:id="rId36" xr:uid="{2CAF0AE5-87D8-47C3-B8B8-53CE2FC93989}"/>
    <hyperlink ref="G21" r:id="rId37" xr:uid="{B8613A71-392B-4B1D-A430-960465E4AC8A}"/>
    <hyperlink ref="G14" r:id="rId38" xr:uid="{171CE560-E1B4-4C71-B8A9-DF1F1801A9C9}"/>
    <hyperlink ref="G13" r:id="rId39" xr:uid="{26C9BC93-EFCF-43A9-872D-244EDBD6CCC8}"/>
    <hyperlink ref="G15" r:id="rId40" xr:uid="{C116C68D-122F-4282-80AF-D4A114C90FA4}"/>
    <hyperlink ref="G16" r:id="rId41" xr:uid="{63BDF369-4BC8-4B63-BF29-C1F34D5CDE49}"/>
    <hyperlink ref="G17" r:id="rId42" xr:uid="{7B3DC115-F772-46E2-9F92-B1CCBBD4FDE1}"/>
    <hyperlink ref="G18" r:id="rId43" xr:uid="{EE747276-1EF3-496A-A976-BDE9758918B7}"/>
    <hyperlink ref="G19" r:id="rId44" xr:uid="{E3596319-A0E1-466F-B984-F9EC778AC2F3}"/>
    <hyperlink ref="G20" r:id="rId45" xr:uid="{6085E1B7-1384-4A62-BC5D-6E0D73968D42}"/>
    <hyperlink ref="G22" r:id="rId46" xr:uid="{9F74261C-CC0C-479D-B173-5197ED76E98A}"/>
    <hyperlink ref="G23" r:id="rId47" xr:uid="{503CAA3D-7A84-4157-AF36-8D136FD159D0}"/>
    <hyperlink ref="G24" r:id="rId48" xr:uid="{51CBE7A5-3546-4F67-A88D-065251FDCB67}"/>
    <hyperlink ref="G25" r:id="rId49" xr:uid="{DA436E2E-C1B3-4E0A-863D-1AC85CBCFC54}"/>
    <hyperlink ref="G26" r:id="rId50" xr:uid="{8B64562E-F650-4237-9523-46180A86DFC6}"/>
    <hyperlink ref="H5" r:id="rId51" xr:uid="{7E07B30B-17B8-4078-8E22-45FBF02DE9C3}"/>
    <hyperlink ref="H4" r:id="rId52" xr:uid="{B3BCC47B-3632-4221-AC19-C957D9FF90E5}"/>
    <hyperlink ref="H3" r:id="rId53" xr:uid="{A2B5AC98-C6C2-4ADB-826E-F62AE59E9EA7}"/>
    <hyperlink ref="H6" r:id="rId54" xr:uid="{C87787AB-99C8-4BD7-845E-E133B6599C8C}"/>
    <hyperlink ref="H7" r:id="rId55" xr:uid="{9143E9FF-CA6F-4308-A194-7C55E279B063}"/>
    <hyperlink ref="H8" r:id="rId56" xr:uid="{547DBD56-CA81-4A9B-A4AD-2B6C35F74505}"/>
    <hyperlink ref="H9" r:id="rId57" xr:uid="{B8073801-07DE-4125-9A2D-918FB19D323D}"/>
    <hyperlink ref="H10" r:id="rId58" xr:uid="{DC047FB8-744F-4943-8F69-0059E3EE51BA}"/>
    <hyperlink ref="H11" r:id="rId59" xr:uid="{E1CA592A-FA6B-4D95-9E74-9A711237352E}"/>
    <hyperlink ref="H12" r:id="rId60" xr:uid="{99796A82-3B29-4FDD-A518-1EB97D4D1A8E}"/>
    <hyperlink ref="H27" r:id="rId61" xr:uid="{EA1298E5-459A-42B8-B5F7-5379E76669C9}"/>
    <hyperlink ref="H21" r:id="rId62" xr:uid="{4135A3B6-4F3E-4922-8C2F-C2CB234F7FAF}"/>
    <hyperlink ref="H14" r:id="rId63" xr:uid="{5535C733-625E-48B9-90FF-9DCEC83774BF}"/>
    <hyperlink ref="H13" r:id="rId64" xr:uid="{EC7D489F-A064-4044-A469-8944F274C409}"/>
    <hyperlink ref="H16" r:id="rId65" xr:uid="{1092C23F-B1E2-4EF0-93CE-49218AFDD114}"/>
    <hyperlink ref="H17" r:id="rId66" xr:uid="{22B0F3D1-3A69-4059-9D8B-45AE99043617}"/>
    <hyperlink ref="H18" r:id="rId67" xr:uid="{368369D1-A20A-415C-AF3A-AB1B8C3772A9}"/>
    <hyperlink ref="H19" r:id="rId68" xr:uid="{ECF9E5B1-622D-4F64-8BED-DF44FCC3451A}"/>
    <hyperlink ref="H20" r:id="rId69" xr:uid="{39FF09F1-DD0F-4484-AA71-C0FD6D4D9F8B}"/>
    <hyperlink ref="H22" r:id="rId70" xr:uid="{700E8660-B483-442F-A690-0D978F95935A}"/>
    <hyperlink ref="H23" r:id="rId71" xr:uid="{94D17E4A-8AB1-4FC1-808E-F8ABB879BDF4}"/>
    <hyperlink ref="H24" r:id="rId72" xr:uid="{A02DA3D7-20F0-4146-8D76-598AA3163FFB}"/>
    <hyperlink ref="H25" r:id="rId73" xr:uid="{644A654E-1E5C-43FD-B1E5-C54D6B6D634D}"/>
    <hyperlink ref="H26" r:id="rId74" xr:uid="{0DE083D0-57C1-4DC3-B028-17981D5BE417}"/>
    <hyperlink ref="H15" r:id="rId75" xr:uid="{7B983754-C4BB-4B7C-BE09-A0B17B3F9519}"/>
    <hyperlink ref="T4" r:id="rId76" xr:uid="{868264D9-599B-4EDE-AEAE-0154E4CC222B}"/>
    <hyperlink ref="O7" r:id="rId77" xr:uid="{2B090EF0-88E8-4D5D-AC69-6599B8722BA7}"/>
    <hyperlink ref="I10" r:id="rId78" xr:uid="{4B1E4911-7E8E-443C-845A-9DEF3CF35BAB}"/>
  </hyperlinks>
  <pageMargins left="0.7" right="0.7" top="0.75" bottom="0.75" header="0.3" footer="0.3"/>
  <pageSetup paperSize="9" orientation="portrait" r:id="rId7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8" ma:contentTypeDescription="Een nieuw document maken." ma:contentTypeScope="" ma:versionID="a285ccadf35b299c882d94c2a20b3340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85e40659cf8aab31dfbcea328ee6ccd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9faeb6-52d7-4144-9b03-0dbc3402ce3f}" ma:internalName="TaxCatchAll" ma:showField="CatchAllData" ma:web="814e9f69-708b-42d1-b772-2ece2c1b3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4e9f69-708b-42d1-b772-2ece2c1b39da" xsi:nil="true"/>
    <lcf76f155ced4ddcb4097134ff3c332f xmlns="c547a812-ac17-4a6a-8bd9-a75acfa310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627A9E-141A-41CE-A703-FBFBA4A6F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47a812-ac17-4a6a-8bd9-a75acfa31021"/>
    <ds:schemaRef ds:uri="814e9f69-708b-42d1-b772-2ece2c1b39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5CC87C-CB2B-4AD1-8216-75620AEAF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4477B-CE28-4EF7-9164-4F988AE81A5D}">
  <ds:schemaRefs>
    <ds:schemaRef ds:uri="http://schemas.microsoft.com/office/2006/metadata/properties"/>
    <ds:schemaRef ds:uri="http://schemas.microsoft.com/office/infopath/2007/PartnerControls"/>
    <ds:schemaRef ds:uri="814e9f69-708b-42d1-b772-2ece2c1b39da"/>
    <ds:schemaRef ds:uri="c547a812-ac17-4a6a-8bd9-a75acfa310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Rounds_info</vt:lpstr>
      <vt:lpstr>Selection_criter</vt:lpstr>
      <vt:lpstr>Printed_final</vt:lpstr>
      <vt:lpstr>Nora's tree</vt:lpstr>
      <vt:lpstr>Phylogeny_sequences_new</vt:lpstr>
      <vt:lpstr>Phylogeny_sequences</vt:lpstr>
      <vt:lpstr>Accession_numbers</vt:lpstr>
      <vt:lpstr>Plant_species_phylogeny_metadat</vt:lpstr>
      <vt:lpstr>Genome_Info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2015-06-05T18:17:20Z</dcterms:created>
  <dcterms:modified xsi:type="dcterms:W3CDTF">2024-02-07T16:59:24Z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